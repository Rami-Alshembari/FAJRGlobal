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OneDrive\Desktop\FAJR Global Hospital\تقارير\"/>
    </mc:Choice>
  </mc:AlternateContent>
  <xr:revisionPtr revIDLastSave="0" documentId="13_ncr:1_{8ED28F2A-5E48-4E39-BAB4-68D5ADA50997}" xr6:coauthVersionLast="47" xr6:coauthVersionMax="47" xr10:uidLastSave="{00000000-0000-0000-0000-000000000000}"/>
  <bookViews>
    <workbookView xWindow="-108" yWindow="-108" windowWidth="23256" windowHeight="12456" activeTab="4" xr2:uid="{0535DB6A-226A-41EE-92E0-35B63122F507}"/>
  </bookViews>
  <sheets>
    <sheet name="Updated Report" sheetId="2" r:id="rId1"/>
    <sheet name="Surgeries" sheetId="3" r:id="rId2"/>
    <sheet name="Clinics" sheetId="4" r:id="rId3"/>
    <sheet name="Admission" sheetId="5" r:id="rId4"/>
    <sheet name="Second Mont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6" l="1"/>
  <c r="N18" i="6"/>
  <c r="M18" i="6"/>
  <c r="L18" i="6"/>
  <c r="K18" i="6"/>
  <c r="J18" i="6"/>
  <c r="I18" i="6"/>
  <c r="H18" i="6"/>
  <c r="G18" i="6"/>
  <c r="F18" i="6"/>
  <c r="E18" i="6"/>
  <c r="D18" i="6"/>
  <c r="R17" i="6"/>
  <c r="Q17" i="6"/>
  <c r="P17" i="6"/>
  <c r="R16" i="6"/>
  <c r="Q16" i="6"/>
  <c r="P16" i="6"/>
  <c r="R15" i="6"/>
  <c r="Q15" i="6"/>
  <c r="P15" i="6"/>
  <c r="R14" i="6"/>
  <c r="Q14" i="6"/>
  <c r="P14" i="6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L23" i="3"/>
  <c r="M23" i="3"/>
  <c r="N23" i="3"/>
  <c r="M22" i="3"/>
  <c r="N22" i="3"/>
  <c r="L22" i="3"/>
  <c r="R18" i="6" l="1"/>
  <c r="Q18" i="6"/>
  <c r="P18" i="6"/>
  <c r="G18" i="4"/>
  <c r="F17" i="5"/>
  <c r="E17" i="5"/>
  <c r="D17" i="5"/>
  <c r="C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17" i="4"/>
  <c r="E18" i="4"/>
  <c r="D18" i="4"/>
  <c r="C18" i="4"/>
  <c r="G15" i="3"/>
  <c r="F17" i="3"/>
  <c r="M18" i="2"/>
  <c r="N18" i="2"/>
  <c r="Q17" i="2"/>
  <c r="Q18" i="2" s="1"/>
  <c r="P17" i="2"/>
  <c r="P18" i="2"/>
  <c r="L18" i="2"/>
  <c r="O17" i="2"/>
  <c r="O18" i="2" s="1"/>
  <c r="K18" i="2"/>
  <c r="J18" i="2"/>
  <c r="I18" i="2"/>
  <c r="H18" i="2"/>
  <c r="G18" i="2"/>
  <c r="F18" i="2"/>
  <c r="E18" i="2"/>
  <c r="D18" i="2"/>
  <c r="C18" i="2"/>
  <c r="G17" i="5" l="1"/>
  <c r="G16" i="4" l="1"/>
  <c r="G15" i="4"/>
  <c r="G14" i="4"/>
  <c r="G13" i="4"/>
  <c r="G12" i="4"/>
  <c r="G11" i="4"/>
  <c r="G10" i="4"/>
  <c r="G9" i="4"/>
  <c r="G8" i="4"/>
  <c r="G7" i="4"/>
  <c r="G6" i="4"/>
  <c r="G5" i="4"/>
  <c r="E17" i="3"/>
  <c r="D17" i="3"/>
  <c r="C17" i="3"/>
  <c r="G16" i="3"/>
  <c r="G14" i="3"/>
  <c r="G13" i="3"/>
  <c r="G12" i="3"/>
  <c r="G11" i="3"/>
  <c r="G10" i="3"/>
  <c r="G9" i="3"/>
  <c r="G8" i="3"/>
  <c r="G7" i="3"/>
  <c r="G6" i="3"/>
  <c r="G5" i="3"/>
  <c r="G17" i="3" l="1"/>
  <c r="O9" i="2" l="1"/>
  <c r="O10" i="2"/>
  <c r="O11" i="2"/>
  <c r="O12" i="2"/>
  <c r="O13" i="2"/>
  <c r="Q6" i="2"/>
  <c r="Q7" i="2"/>
  <c r="Q8" i="2"/>
  <c r="Q9" i="2"/>
  <c r="Q10" i="2"/>
  <c r="Q11" i="2"/>
  <c r="Q12" i="2"/>
  <c r="Q13" i="2"/>
  <c r="Q14" i="2"/>
  <c r="Q15" i="2"/>
  <c r="Q16" i="2"/>
  <c r="Q5" i="2"/>
  <c r="P6" i="2"/>
  <c r="P7" i="2"/>
  <c r="P8" i="2"/>
  <c r="P9" i="2"/>
  <c r="P10" i="2"/>
  <c r="P11" i="2"/>
  <c r="P12" i="2"/>
  <c r="P13" i="2"/>
  <c r="P14" i="2"/>
  <c r="P15" i="2"/>
  <c r="P16" i="2"/>
  <c r="P5" i="2"/>
  <c r="O6" i="2"/>
  <c r="O7" i="2"/>
  <c r="O8" i="2"/>
  <c r="O14" i="2"/>
  <c r="O15" i="2"/>
  <c r="O16" i="2"/>
  <c r="O5" i="2" l="1"/>
</calcChain>
</file>

<file path=xl/sharedStrings.xml><?xml version="1.0" encoding="utf-8"?>
<sst xmlns="http://schemas.openxmlformats.org/spreadsheetml/2006/main" count="171" uniqueCount="37">
  <si>
    <t>ENT</t>
  </si>
  <si>
    <t>#</t>
  </si>
  <si>
    <t>Item</t>
  </si>
  <si>
    <t>Clinic Visits</t>
  </si>
  <si>
    <t>Maxillofacial</t>
  </si>
  <si>
    <t>Gastroenterology &amp; Endoscopy</t>
  </si>
  <si>
    <t>Orthopedic</t>
  </si>
  <si>
    <t>Ophthalmology</t>
  </si>
  <si>
    <t>Pediatric Surgery</t>
  </si>
  <si>
    <t>Neurosurgery</t>
  </si>
  <si>
    <t>Plastic</t>
  </si>
  <si>
    <t>General Surgery</t>
  </si>
  <si>
    <t>Urology</t>
  </si>
  <si>
    <t>Interventional Radiology &amp; Biobsy</t>
  </si>
  <si>
    <t>Total</t>
  </si>
  <si>
    <t>Vascular</t>
  </si>
  <si>
    <t>Surgeries</t>
  </si>
  <si>
    <t>Ward Admission</t>
  </si>
  <si>
    <t>3rd Week 7-12 Feb</t>
  </si>
  <si>
    <t>2nd Week 31 Jan - 5 Feb</t>
  </si>
  <si>
    <t>1st Week 20-29 Jan</t>
  </si>
  <si>
    <t>Total (First Month)</t>
  </si>
  <si>
    <t>Updated Report 20 Jan - 18 Feb</t>
  </si>
  <si>
    <t>4th Week 14 - 18 Feb</t>
  </si>
  <si>
    <t>Dermatology</t>
  </si>
  <si>
    <t>1st week</t>
  </si>
  <si>
    <t>2nd Week</t>
  </si>
  <si>
    <t>3rd Week</t>
  </si>
  <si>
    <t>4th Week</t>
  </si>
  <si>
    <t>Minor</t>
  </si>
  <si>
    <t>Moderate</t>
  </si>
  <si>
    <t>Major</t>
  </si>
  <si>
    <t>2nd Week 28 Feb - 5 March</t>
  </si>
  <si>
    <t>Updated Report 19 Feb - 18 March</t>
  </si>
  <si>
    <t>1st Week 19-26 Feb</t>
  </si>
  <si>
    <t>Total (Second Month)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</si>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</sst>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theme="1"/>
      <name val="Simplified Arabic"/>
      <family val="1"/>
    </font>
    <font>
      <sz val="12"/>
      <color theme="1"/>
      <name val="Simplified Arabic"/>
      <family val="1"/>
    </font>
    <font>
      <b/>
      <sz val="14"/>
      <color theme="1"/>
      <name val="Simplified Arabic"/>
      <family val="1"/>
    </font>
    <font>
      <b/>
      <sz val="16"/>
      <color theme="1"/>
      <name val="Simplified Arabic"/>
      <family val="1"/>
    </font>
    <font>
      <b/>
      <sz val="14"/>
      <color theme="1"/>
      <name val="Calibri"/>
      <family val="2"/>
      <charset val="178"/>
      <scheme val="minor"/>
    </font>
    <font>
      <b/>
      <sz val="14"/>
      <color theme="1"/>
      <name val="Simplified Arabic"/>
      <family val="1"/>
      <charset val="178"/>
    </font>
    <font>
      <b/>
      <sz val="20"/>
      <color theme="1"/>
      <name val="Simplified Arabic"/>
      <family val="1"/>
    </font>
    <font>
      <b/>
      <sz val="12"/>
      <color theme="1"/>
      <name val="Simplified Arabic"/>
      <family val="1"/>
      <charset val="178"/>
    </font>
    <font>
      <b/>
      <sz val="12"/>
      <color theme="1"/>
      <name val="Calibri"/>
      <family val="2"/>
      <charset val="178"/>
      <scheme val="minor"/>
    </font>
    <font>
      <b/>
      <sz val="18"/>
      <color theme="1"/>
      <name val="Simplified Arabic"/>
      <family val="1"/>
    </font>
    <font>
      <sz val="14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0" fillId="0" borderId="3" xfId="0" applyBorder="1"/>
    <xf numFmtId="0" fontId="0" fillId="0" borderId="4" xfId="0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A9A9A28-FE56-46C9-A16E-CF0235DD832F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none" strike="noStrike" cap="all" baseline="0">
                <a:effectLst/>
              </a:rPr>
              <a:t>Monthly Highlights: </a:t>
            </a:r>
          </a:p>
          <a:p>
            <a:pPr>
              <a:defRPr/>
            </a:pPr>
            <a:r>
              <a:rPr lang="en-US" sz="1400" b="0" i="1" u="none" strike="noStrike" cap="all" baseline="0">
                <a:effectLst/>
              </a:rPr>
              <a:t>Surgeries – OPD Visits – Admissions</a:t>
            </a:r>
            <a:endParaRPr lang="en-US" sz="1400"/>
          </a:p>
        </c:rich>
      </c:tx>
      <c:layout>
        <c:manualLayout>
          <c:xMode val="edge"/>
          <c:yMode val="edge"/>
          <c:x val="0.2371092617505885"/>
          <c:y val="2.7924945661793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'Updated Report'!$C$18:$N$18</c:f>
              <c:numCache>
                <c:formatCode>General</c:formatCode>
                <c:ptCount val="12"/>
                <c:pt idx="0">
                  <c:v>108</c:v>
                </c:pt>
                <c:pt idx="1">
                  <c:v>295</c:v>
                </c:pt>
                <c:pt idx="2">
                  <c:v>9</c:v>
                </c:pt>
                <c:pt idx="3">
                  <c:v>167</c:v>
                </c:pt>
                <c:pt idx="4">
                  <c:v>485</c:v>
                </c:pt>
                <c:pt idx="5">
                  <c:v>12</c:v>
                </c:pt>
                <c:pt idx="6">
                  <c:v>205</c:v>
                </c:pt>
                <c:pt idx="7">
                  <c:v>745</c:v>
                </c:pt>
                <c:pt idx="8">
                  <c:v>15</c:v>
                </c:pt>
                <c:pt idx="9">
                  <c:v>137</c:v>
                </c:pt>
                <c:pt idx="10">
                  <c:v>547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2-42FD-9B14-0026A554BD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28488863"/>
        <c:axId val="1828489343"/>
        <c:axId val="0"/>
      </c:bar3DChart>
      <c:catAx>
        <c:axId val="182848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89343"/>
        <c:crosses val="autoZero"/>
        <c:auto val="1"/>
        <c:lblAlgn val="ctr"/>
        <c:lblOffset val="100"/>
        <c:noMultiLvlLbl val="0"/>
      </c:catAx>
      <c:valAx>
        <c:axId val="1828489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84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'Updated Report'!$B$5:$B$17</c:f>
              <c:strCache>
                <c:ptCount val="13"/>
                <c:pt idx="0">
                  <c:v>ENT</c:v>
                </c:pt>
                <c:pt idx="1">
                  <c:v>Maxillofacial</c:v>
                </c:pt>
                <c:pt idx="2">
                  <c:v>Gastroenterology &amp; Endoscopy</c:v>
                </c:pt>
                <c:pt idx="3">
                  <c:v>Orthopedic</c:v>
                </c:pt>
                <c:pt idx="4">
                  <c:v>Ophthalmology</c:v>
                </c:pt>
                <c:pt idx="5">
                  <c:v>Pediatric Surgery</c:v>
                </c:pt>
                <c:pt idx="6">
                  <c:v>Neurosurgery</c:v>
                </c:pt>
                <c:pt idx="7">
                  <c:v>Plastic</c:v>
                </c:pt>
                <c:pt idx="8">
                  <c:v>General Surgery</c:v>
                </c:pt>
                <c:pt idx="9">
                  <c:v>Urology</c:v>
                </c:pt>
                <c:pt idx="10">
                  <c:v>Interventional Radiology &amp; Biobsy</c:v>
                </c:pt>
                <c:pt idx="11">
                  <c:v>Vascular</c:v>
                </c:pt>
                <c:pt idx="12">
                  <c:v>Dermatology</c:v>
                </c:pt>
              </c:strCache>
            </c:strRef>
          </c:cat>
          <c:val>
            <c:numRef>
              <c:f>'Updated Report'!$O$5:$O$17</c:f>
              <c:numCache>
                <c:formatCode>General</c:formatCode>
                <c:ptCount val="13"/>
                <c:pt idx="0">
                  <c:v>92</c:v>
                </c:pt>
                <c:pt idx="1">
                  <c:v>31</c:v>
                </c:pt>
                <c:pt idx="2">
                  <c:v>72</c:v>
                </c:pt>
                <c:pt idx="3">
                  <c:v>29</c:v>
                </c:pt>
                <c:pt idx="4">
                  <c:v>29</c:v>
                </c:pt>
                <c:pt idx="5">
                  <c:v>96</c:v>
                </c:pt>
                <c:pt idx="6">
                  <c:v>15</c:v>
                </c:pt>
                <c:pt idx="7">
                  <c:v>24</c:v>
                </c:pt>
                <c:pt idx="8">
                  <c:v>111</c:v>
                </c:pt>
                <c:pt idx="9">
                  <c:v>51</c:v>
                </c:pt>
                <c:pt idx="10">
                  <c:v>62</c:v>
                </c:pt>
                <c:pt idx="11">
                  <c:v>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F-4CC2-9FD0-42EC23F2A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2267327"/>
        <c:axId val="604898015"/>
      </c:barChart>
      <c:catAx>
        <c:axId val="28226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98015"/>
        <c:crosses val="autoZero"/>
        <c:auto val="1"/>
        <c:lblAlgn val="ctr"/>
        <c:lblOffset val="100"/>
        <c:noMultiLvlLbl val="0"/>
      </c:catAx>
      <c:valAx>
        <c:axId val="6048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6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'Updated Report'!$C$4:$N$4</c:f>
              <c:strCache>
                <c:ptCount val="12"/>
                <c:pt idx="0">
                  <c:v>Surgeries</c:v>
                </c:pt>
                <c:pt idx="1">
                  <c:v>Clinic Visits</c:v>
                </c:pt>
                <c:pt idx="2">
                  <c:v>Ward Admission</c:v>
                </c:pt>
                <c:pt idx="3">
                  <c:v>Surgeries</c:v>
                </c:pt>
                <c:pt idx="4">
                  <c:v>Clinic Visits</c:v>
                </c:pt>
                <c:pt idx="5">
                  <c:v>Ward Admission</c:v>
                </c:pt>
                <c:pt idx="6">
                  <c:v>Surgeries</c:v>
                </c:pt>
                <c:pt idx="7">
                  <c:v>Clinic Visits</c:v>
                </c:pt>
                <c:pt idx="8">
                  <c:v>Ward Admission</c:v>
                </c:pt>
                <c:pt idx="9">
                  <c:v>Surgeries</c:v>
                </c:pt>
                <c:pt idx="10">
                  <c:v>Clinic Visits</c:v>
                </c:pt>
                <c:pt idx="11">
                  <c:v>Ward Admission</c:v>
                </c:pt>
              </c:strCache>
            </c:strRef>
          </c:cat>
          <c:val>
            <c:numRef>
              <c:f>'Updated Report'!$C$18:$N$18</c:f>
              <c:numCache>
                <c:formatCode>General</c:formatCode>
                <c:ptCount val="12"/>
                <c:pt idx="0">
                  <c:v>108</c:v>
                </c:pt>
                <c:pt idx="1">
                  <c:v>295</c:v>
                </c:pt>
                <c:pt idx="2">
                  <c:v>9</c:v>
                </c:pt>
                <c:pt idx="3">
                  <c:v>167</c:v>
                </c:pt>
                <c:pt idx="4">
                  <c:v>485</c:v>
                </c:pt>
                <c:pt idx="5">
                  <c:v>12</c:v>
                </c:pt>
                <c:pt idx="6">
                  <c:v>205</c:v>
                </c:pt>
                <c:pt idx="7">
                  <c:v>745</c:v>
                </c:pt>
                <c:pt idx="8">
                  <c:v>15</c:v>
                </c:pt>
                <c:pt idx="9">
                  <c:v>137</c:v>
                </c:pt>
                <c:pt idx="10">
                  <c:v>547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A-4CE4-96D8-D50105BEAE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20653919"/>
        <c:axId val="620652959"/>
        <c:axId val="530487583"/>
      </c:bar3DChart>
      <c:catAx>
        <c:axId val="6206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52959"/>
        <c:crosses val="autoZero"/>
        <c:auto val="1"/>
        <c:lblAlgn val="ctr"/>
        <c:lblOffset val="100"/>
        <c:noMultiLvlLbl val="0"/>
      </c:catAx>
      <c:valAx>
        <c:axId val="620652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20653919"/>
        <c:crosses val="autoZero"/>
        <c:crossBetween val="between"/>
      </c:valAx>
      <c:serAx>
        <c:axId val="530487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5295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none" strike="noStrike" cap="all" baseline="0">
                <a:effectLst/>
              </a:rPr>
              <a:t>Monthly Highlights: </a:t>
            </a:r>
          </a:p>
          <a:p>
            <a:pPr>
              <a:defRPr/>
            </a:pPr>
            <a:r>
              <a:rPr lang="en-US" sz="1400" b="0" i="1" u="none" strike="noStrike" cap="all" baseline="0">
                <a:effectLst/>
              </a:rPr>
              <a:t>Surgeries – OPD Visits – Admissions</a:t>
            </a:r>
            <a:endParaRPr lang="en-US" sz="1400"/>
          </a:p>
        </c:rich>
      </c:tx>
      <c:layout>
        <c:manualLayout>
          <c:xMode val="edge"/>
          <c:yMode val="edge"/>
          <c:x val="0.2371092617505885"/>
          <c:y val="2.7924945661793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Surgeries!$C$17:$F$17</c:f>
              <c:numCache>
                <c:formatCode>General</c:formatCode>
                <c:ptCount val="4"/>
                <c:pt idx="0">
                  <c:v>108</c:v>
                </c:pt>
                <c:pt idx="1">
                  <c:v>167</c:v>
                </c:pt>
                <c:pt idx="2">
                  <c:v>205</c:v>
                </c:pt>
                <c:pt idx="3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0-455B-91E3-0EFB4188C7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28488863"/>
        <c:axId val="1828489343"/>
        <c:axId val="0"/>
      </c:bar3DChart>
      <c:catAx>
        <c:axId val="182848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89343"/>
        <c:crosses val="autoZero"/>
        <c:auto val="1"/>
        <c:lblAlgn val="ctr"/>
        <c:lblOffset val="100"/>
        <c:noMultiLvlLbl val="0"/>
      </c:catAx>
      <c:valAx>
        <c:axId val="1828489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84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Surgeries!$C$3:$F$3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Surgeries!$C$17:$F$17</c:f>
              <c:numCache>
                <c:formatCode>General</c:formatCode>
                <c:ptCount val="4"/>
                <c:pt idx="0">
                  <c:v>108</c:v>
                </c:pt>
                <c:pt idx="1">
                  <c:v>167</c:v>
                </c:pt>
                <c:pt idx="2">
                  <c:v>205</c:v>
                </c:pt>
                <c:pt idx="3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3-4508-A3BF-8549AD6343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2264447"/>
        <c:axId val="282264927"/>
      </c:lineChart>
      <c:catAx>
        <c:axId val="2822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64927"/>
        <c:crosses val="autoZero"/>
        <c:auto val="1"/>
        <c:lblAlgn val="ctr"/>
        <c:lblOffset val="100"/>
        <c:noMultiLvlLbl val="0"/>
      </c:catAx>
      <c:valAx>
        <c:axId val="2822649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22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02-4C3E-9708-DA55D23AF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02-4C3E-9708-DA55D23AF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02-4C3E-9708-DA55D23AF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Surgeries!$L$17:$N$17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Major</c:v>
                </c:pt>
              </c:strCache>
            </c:strRef>
          </c:cat>
          <c:val>
            <c:numRef>
              <c:f>Surgeries!$L$22:$N$22</c:f>
              <c:numCache>
                <c:formatCode>General</c:formatCode>
                <c:ptCount val="3"/>
                <c:pt idx="0">
                  <c:v>394</c:v>
                </c:pt>
                <c:pt idx="1">
                  <c:v>160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4-4A29-90EB-E47887E889C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Clinics!$C$3:$F$3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Clinics!$C$18:$F$18</c:f>
              <c:numCache>
                <c:formatCode>General</c:formatCode>
                <c:ptCount val="4"/>
                <c:pt idx="0">
                  <c:v>295</c:v>
                </c:pt>
                <c:pt idx="1">
                  <c:v>485</c:v>
                </c:pt>
                <c:pt idx="2">
                  <c:v>745</c:v>
                </c:pt>
                <c:pt idx="3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9-4A8D-A053-4CFA50C5C5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7989263"/>
        <c:axId val="537991183"/>
      </c:lineChart>
      <c:catAx>
        <c:axId val="5379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91183"/>
        <c:crosses val="autoZero"/>
        <c:auto val="1"/>
        <c:lblAlgn val="ctr"/>
        <c:lblOffset val="100"/>
        <c:noMultiLvlLbl val="0"/>
      </c:catAx>
      <c:valAx>
        <c:axId val="5379911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798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none" strike="noStrike" cap="all" baseline="0">
                <a:effectLst/>
              </a:rPr>
              <a:t>Monthly Highlights: </a:t>
            </a:r>
          </a:p>
          <a:p>
            <a:pPr>
              <a:defRPr/>
            </a:pPr>
            <a:r>
              <a:rPr lang="en-US" sz="1400" b="0" i="1" u="none" strike="noStrike" cap="all" baseline="0">
                <a:effectLst/>
              </a:rPr>
              <a:t>Surgeries – OPD Visits – Admissions</a:t>
            </a:r>
            <a:endParaRPr lang="en-US" sz="1400"/>
          </a:p>
        </c:rich>
      </c:tx>
      <c:layout>
        <c:manualLayout>
          <c:xMode val="edge"/>
          <c:yMode val="edge"/>
          <c:x val="0.2371092617505885"/>
          <c:y val="2.7924945661793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Admission!$C$17:$F$17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F-469A-BE02-AC2BA0603F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28488863"/>
        <c:axId val="1828489343"/>
        <c:axId val="0"/>
      </c:bar3DChart>
      <c:catAx>
        <c:axId val="182848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89343"/>
        <c:crosses val="autoZero"/>
        <c:auto val="1"/>
        <c:lblAlgn val="ctr"/>
        <c:lblOffset val="100"/>
        <c:noMultiLvlLbl val="0"/>
      </c:catAx>
      <c:valAx>
        <c:axId val="1828489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848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899160</xdr:colOff>
      <xdr:row>0</xdr:row>
      <xdr:rowOff>110491</xdr:rowOff>
    </xdr:from>
    <xdr:to>
      <xdr:col>1</xdr:col>
      <xdr:colOff>1961127</xdr:colOff>
      <xdr:row>0</xdr:row>
      <xdr:rowOff>1095331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B661840F-39E8-4AA8-9F86-C5C0FDAB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10491"/>
          <a:ext cx="1061967" cy="98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626701</xdr:colOff>
      <xdr:row>0</xdr:row>
      <xdr:rowOff>99509</xdr:rowOff>
    </xdr:from>
    <xdr:ext cx="1126722" cy="1068705"/>
    <xdr:pic>
      <xdr:nvPicPr>
        <xdr:cNvPr id="5" name="صورة 2">
          <a:extLst>
            <a:ext uri="{FF2B5EF4-FFF2-40B4-BE49-F238E27FC236}">
              <a16:creationId xmlns:a16="http://schemas.microsoft.com/office/drawing/2014/main" id="{4AA4B972-9633-4BBB-BE1A-6883308AE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6893" y="99509"/>
          <a:ext cx="1126722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397221</xdr:colOff>
      <xdr:row>3</xdr:row>
      <xdr:rowOff>343222</xdr:rowOff>
    </xdr:from>
    <xdr:to>
      <xdr:col>23</xdr:col>
      <xdr:colOff>411635</xdr:colOff>
      <xdr:row>11</xdr:row>
      <xdr:rowOff>239313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C689C4-FCE8-586D-4956-9C37EBE42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108857</xdr:colOff>
      <xdr:row>12</xdr:row>
      <xdr:rowOff>217714</xdr:rowOff>
    </xdr:from>
    <xdr:to>
      <xdr:col>24</xdr:col>
      <xdr:colOff>108857</xdr:colOff>
      <xdr:row>22</xdr:row>
      <xdr:rowOff>87086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9AD9DB-00F1-2D89-2160-CB2A08735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598714</xdr:colOff>
      <xdr:row>4</xdr:row>
      <xdr:rowOff>304801</xdr:rowOff>
    </xdr:from>
    <xdr:to>
      <xdr:col>32</xdr:col>
      <xdr:colOff>293914</xdr:colOff>
      <xdr:row>12</xdr:row>
      <xdr:rowOff>261258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5BA1B9-9783-188E-75BF-636171E7D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899160</xdr:colOff>
      <xdr:row>0</xdr:row>
      <xdr:rowOff>110491</xdr:rowOff>
    </xdr:from>
    <xdr:to>
      <xdr:col>2</xdr:col>
      <xdr:colOff>12585</xdr:colOff>
      <xdr:row>0</xdr:row>
      <xdr:rowOff>1095331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CBA0B1C4-28E1-41AF-B5FF-5FABDCF4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10491"/>
          <a:ext cx="1061967" cy="98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0</xdr:row>
      <xdr:rowOff>99509</xdr:rowOff>
    </xdr:from>
    <xdr:ext cx="1126722" cy="1068705"/>
    <xdr:pic>
      <xdr:nvPicPr>
        <xdr:cNvPr id="3" name="صورة 2">
          <a:extLst>
            <a:ext uri="{FF2B5EF4-FFF2-40B4-BE49-F238E27FC236}">
              <a16:creationId xmlns:a16="http://schemas.microsoft.com/office/drawing/2014/main" id="{98BEA56B-D3EB-451D-9851-FB3D012E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2761" y="99509"/>
          <a:ext cx="1126722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397221</xdr:colOff>
      <xdr:row>3</xdr:row>
      <xdr:rowOff>343222</xdr:rowOff>
    </xdr:from>
    <xdr:to>
      <xdr:col>13</xdr:col>
      <xdr:colOff>411635</xdr:colOff>
      <xdr:row>11</xdr:row>
      <xdr:rowOff>239313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E735B8-B9F9-46AC-975F-9007CEF1D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130628</xdr:colOff>
      <xdr:row>3</xdr:row>
      <xdr:rowOff>326571</xdr:rowOff>
    </xdr:from>
    <xdr:to>
      <xdr:col>22</xdr:col>
      <xdr:colOff>315686</xdr:colOff>
      <xdr:row>11</xdr:row>
      <xdr:rowOff>272143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39BBA3-1C4E-B4E6-7F02-344007F39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446314</xdr:colOff>
      <xdr:row>14</xdr:row>
      <xdr:rowOff>163286</xdr:rowOff>
    </xdr:from>
    <xdr:to>
      <xdr:col>22</xdr:col>
      <xdr:colOff>141514</xdr:colOff>
      <xdr:row>21</xdr:row>
      <xdr:rowOff>250372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879BB2-9D98-E093-0CB3-8FF7EC758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899160</xdr:colOff>
      <xdr:row>0</xdr:row>
      <xdr:rowOff>110491</xdr:rowOff>
    </xdr:from>
    <xdr:to>
      <xdr:col>1</xdr:col>
      <xdr:colOff>1961127</xdr:colOff>
      <xdr:row>0</xdr:row>
      <xdr:rowOff>1095331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66D16AF6-F08E-4105-B69E-21A39FF77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10491"/>
          <a:ext cx="1061967" cy="98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626701</xdr:colOff>
      <xdr:row>0</xdr:row>
      <xdr:rowOff>99509</xdr:rowOff>
    </xdr:from>
    <xdr:ext cx="1126722" cy="1068705"/>
    <xdr:pic>
      <xdr:nvPicPr>
        <xdr:cNvPr id="3" name="صورة 2">
          <a:extLst>
            <a:ext uri="{FF2B5EF4-FFF2-40B4-BE49-F238E27FC236}">
              <a16:creationId xmlns:a16="http://schemas.microsoft.com/office/drawing/2014/main" id="{085ED4CE-17E2-405B-A21D-DF2B16DC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2761" y="99509"/>
          <a:ext cx="1126722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58270</xdr:colOff>
      <xdr:row>4</xdr:row>
      <xdr:rowOff>62752</xdr:rowOff>
    </xdr:from>
    <xdr:to>
      <xdr:col>13</xdr:col>
      <xdr:colOff>407894</xdr:colOff>
      <xdr:row>13</xdr:row>
      <xdr:rowOff>143434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E3970-2976-210E-E33A-E7F878D68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899160</xdr:colOff>
      <xdr:row>0</xdr:row>
      <xdr:rowOff>110491</xdr:rowOff>
    </xdr:from>
    <xdr:to>
      <xdr:col>1</xdr:col>
      <xdr:colOff>1961127</xdr:colOff>
      <xdr:row>0</xdr:row>
      <xdr:rowOff>1095331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202921E9-81CD-4F61-8C4F-43F8567F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10491"/>
          <a:ext cx="1061967" cy="98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0</xdr:row>
      <xdr:rowOff>99509</xdr:rowOff>
    </xdr:from>
    <xdr:ext cx="1126722" cy="1068705"/>
    <xdr:pic>
      <xdr:nvPicPr>
        <xdr:cNvPr id="3" name="صورة 2">
          <a:extLst>
            <a:ext uri="{FF2B5EF4-FFF2-40B4-BE49-F238E27FC236}">
              <a16:creationId xmlns:a16="http://schemas.microsoft.com/office/drawing/2014/main" id="{61A15191-A27B-4F0A-A717-D551E2A3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2761" y="99509"/>
          <a:ext cx="1126722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397221</xdr:colOff>
      <xdr:row>3</xdr:row>
      <xdr:rowOff>0</xdr:rowOff>
    </xdr:from>
    <xdr:to>
      <xdr:col>13</xdr:col>
      <xdr:colOff>411635</xdr:colOff>
      <xdr:row>10</xdr:row>
      <xdr:rowOff>239313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D180F-4349-4126-B082-138539D91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899160</xdr:colOff>
      <xdr:row>0</xdr:row>
      <xdr:rowOff>110491</xdr:rowOff>
    </xdr:from>
    <xdr:to>
      <xdr:col>2</xdr:col>
      <xdr:colOff>1961127</xdr:colOff>
      <xdr:row>0</xdr:row>
      <xdr:rowOff>1095331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303FA679-1340-4DDC-95E3-42B4BD7B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10491"/>
          <a:ext cx="1061967" cy="98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626701</xdr:colOff>
      <xdr:row>0</xdr:row>
      <xdr:rowOff>99509</xdr:rowOff>
    </xdr:from>
    <xdr:ext cx="1126722" cy="1068705"/>
    <xdr:pic>
      <xdr:nvPicPr>
        <xdr:cNvPr id="3" name="صورة 2">
          <a:extLst>
            <a:ext uri="{FF2B5EF4-FFF2-40B4-BE49-F238E27FC236}">
              <a16:creationId xmlns:a16="http://schemas.microsoft.com/office/drawing/2014/main" id="{DC863E4A-CD74-429A-A749-0F39C842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2761" y="99509"/>
          <a:ext cx="1126722" cy="106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DDEE-C4A9-4C3F-AA24-415C8F350744}">
  <dimension ref="A1:Q18"/>
  <sheetViews>
    <sheetView topLeftCell="A2" zoomScale="70" zoomScaleNormal="70" workbookViewId="0">
      <selection activeCell="C4" activeCellId="1" sqref="C18:N18 C4:N4"/>
    </sheetView>
  </sheetViews>
  <sheetFormatPr defaultRowHeight="14.4" x14ac:dyDescent="0.3"/>
  <cols>
    <col min="1" max="1" width="6.33203125" customWidth="1"/>
    <col min="2" max="2" width="44" bestFit="1" customWidth="1"/>
    <col min="3" max="4" width="15.44140625" style="6" customWidth="1"/>
    <col min="5" max="5" width="16.21875" style="6" customWidth="1"/>
    <col min="6" max="7" width="15.44140625" style="6" customWidth="1"/>
    <col min="8" max="16" width="16.77734375" style="6" customWidth="1"/>
    <col min="17" max="17" width="19.5546875" style="6" customWidth="1"/>
    <col min="18" max="18" width="8.88671875" customWidth="1"/>
    <col min="21" max="21" width="22.21875" customWidth="1"/>
  </cols>
  <sheetData>
    <row r="1" spans="1:17" ht="94.2" customHeight="1" thickBot="1" x14ac:dyDescent="0.35">
      <c r="A1" s="1"/>
      <c r="B1" s="2"/>
      <c r="C1" s="5"/>
      <c r="D1" s="5"/>
      <c r="E1" s="5"/>
      <c r="F1" s="5"/>
      <c r="G1" s="5"/>
      <c r="H1" s="5"/>
    </row>
    <row r="2" spans="1:17" ht="43.2" customHeight="1" thickBot="1" x14ac:dyDescent="0.35">
      <c r="A2" s="88" t="s">
        <v>22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</row>
    <row r="3" spans="1:17" ht="30.6" x14ac:dyDescent="0.3">
      <c r="A3" s="91" t="s">
        <v>1</v>
      </c>
      <c r="B3" s="98" t="s">
        <v>2</v>
      </c>
      <c r="C3" s="95" t="s">
        <v>20</v>
      </c>
      <c r="D3" s="96"/>
      <c r="E3" s="97"/>
      <c r="F3" s="100" t="s">
        <v>19</v>
      </c>
      <c r="G3" s="100"/>
      <c r="H3" s="101"/>
      <c r="I3" s="95" t="s">
        <v>18</v>
      </c>
      <c r="J3" s="96"/>
      <c r="K3" s="97"/>
      <c r="L3" s="95" t="s">
        <v>23</v>
      </c>
      <c r="M3" s="96"/>
      <c r="N3" s="97"/>
      <c r="O3" s="95" t="s">
        <v>21</v>
      </c>
      <c r="P3" s="96"/>
      <c r="Q3" s="97"/>
    </row>
    <row r="4" spans="1:17" ht="33" customHeight="1" thickBot="1" x14ac:dyDescent="0.35">
      <c r="A4" s="92"/>
      <c r="B4" s="99"/>
      <c r="C4" s="7" t="s">
        <v>16</v>
      </c>
      <c r="D4" s="3" t="s">
        <v>3</v>
      </c>
      <c r="E4" s="4" t="s">
        <v>17</v>
      </c>
      <c r="F4" s="10" t="s">
        <v>16</v>
      </c>
      <c r="G4" s="3" t="s">
        <v>3</v>
      </c>
      <c r="H4" s="4" t="s">
        <v>17</v>
      </c>
      <c r="I4" s="7" t="s">
        <v>16</v>
      </c>
      <c r="J4" s="3" t="s">
        <v>3</v>
      </c>
      <c r="K4" s="4" t="s">
        <v>17</v>
      </c>
      <c r="L4" s="7" t="s">
        <v>16</v>
      </c>
      <c r="M4" s="3" t="s">
        <v>3</v>
      </c>
      <c r="N4" s="4" t="s">
        <v>17</v>
      </c>
      <c r="O4" s="7" t="s">
        <v>16</v>
      </c>
      <c r="P4" s="3" t="s">
        <v>3</v>
      </c>
      <c r="Q4" s="4" t="s">
        <v>17</v>
      </c>
    </row>
    <row r="5" spans="1:17" ht="27" x14ac:dyDescent="0.3">
      <c r="A5" s="8">
        <v>1</v>
      </c>
      <c r="B5" s="11" t="s">
        <v>0</v>
      </c>
      <c r="C5" s="12">
        <v>35</v>
      </c>
      <c r="D5" s="13">
        <v>90</v>
      </c>
      <c r="E5" s="14">
        <v>0</v>
      </c>
      <c r="F5" s="15">
        <v>20</v>
      </c>
      <c r="G5" s="13">
        <v>108</v>
      </c>
      <c r="H5" s="14">
        <v>0</v>
      </c>
      <c r="I5" s="41">
        <v>20</v>
      </c>
      <c r="J5" s="42">
        <v>131</v>
      </c>
      <c r="K5" s="43">
        <v>0</v>
      </c>
      <c r="L5" s="43">
        <v>17</v>
      </c>
      <c r="M5" s="43">
        <v>65</v>
      </c>
      <c r="N5" s="43">
        <v>0</v>
      </c>
      <c r="O5" s="41">
        <f>C5+F5+I5+L5</f>
        <v>92</v>
      </c>
      <c r="P5" s="42">
        <f>D5+G5+J5+M5</f>
        <v>394</v>
      </c>
      <c r="Q5" s="43">
        <f>E5+H5+K5+N5</f>
        <v>0</v>
      </c>
    </row>
    <row r="6" spans="1:17" ht="27" x14ac:dyDescent="0.3">
      <c r="A6" s="9">
        <v>2</v>
      </c>
      <c r="B6" s="19" t="s">
        <v>4</v>
      </c>
      <c r="C6" s="20">
        <v>6</v>
      </c>
      <c r="D6" s="21">
        <v>6</v>
      </c>
      <c r="E6" s="22">
        <v>1</v>
      </c>
      <c r="F6" s="23">
        <v>6</v>
      </c>
      <c r="G6" s="21">
        <v>12</v>
      </c>
      <c r="H6" s="22">
        <v>2</v>
      </c>
      <c r="I6" s="16">
        <v>12</v>
      </c>
      <c r="J6" s="17">
        <v>28</v>
      </c>
      <c r="K6" s="18">
        <v>0</v>
      </c>
      <c r="L6" s="18">
        <v>7</v>
      </c>
      <c r="M6" s="18">
        <v>4</v>
      </c>
      <c r="N6" s="18">
        <v>1</v>
      </c>
      <c r="O6" s="16">
        <f t="shared" ref="O6:O17" si="0">C6+F6+I6+L6</f>
        <v>31</v>
      </c>
      <c r="P6" s="17">
        <f t="shared" ref="P6:P17" si="1">D6+G6+J6+M6</f>
        <v>50</v>
      </c>
      <c r="Q6" s="18">
        <f t="shared" ref="Q6:Q17" si="2">E6+H6+K6+N6</f>
        <v>4</v>
      </c>
    </row>
    <row r="7" spans="1:17" ht="27" x14ac:dyDescent="0.3">
      <c r="A7" s="9">
        <v>3</v>
      </c>
      <c r="B7" s="19" t="s">
        <v>5</v>
      </c>
      <c r="C7" s="20">
        <v>11</v>
      </c>
      <c r="D7" s="21">
        <v>23</v>
      </c>
      <c r="E7" s="22">
        <v>0</v>
      </c>
      <c r="F7" s="23">
        <v>26</v>
      </c>
      <c r="G7" s="21">
        <v>18</v>
      </c>
      <c r="H7" s="22">
        <v>0</v>
      </c>
      <c r="I7" s="16">
        <v>25</v>
      </c>
      <c r="J7" s="17">
        <v>34</v>
      </c>
      <c r="K7" s="18">
        <v>0</v>
      </c>
      <c r="L7" s="18">
        <v>10</v>
      </c>
      <c r="M7" s="18">
        <v>27</v>
      </c>
      <c r="N7" s="18">
        <v>0</v>
      </c>
      <c r="O7" s="16">
        <f t="shared" si="0"/>
        <v>72</v>
      </c>
      <c r="P7" s="17">
        <f t="shared" si="1"/>
        <v>102</v>
      </c>
      <c r="Q7" s="18">
        <f t="shared" si="2"/>
        <v>0</v>
      </c>
    </row>
    <row r="8" spans="1:17" ht="27" x14ac:dyDescent="0.3">
      <c r="A8" s="9">
        <v>4</v>
      </c>
      <c r="B8" s="19" t="s">
        <v>6</v>
      </c>
      <c r="C8" s="24">
        <v>5</v>
      </c>
      <c r="D8" s="21">
        <v>5</v>
      </c>
      <c r="E8" s="22">
        <v>0</v>
      </c>
      <c r="F8" s="23">
        <v>6</v>
      </c>
      <c r="G8" s="21">
        <v>45</v>
      </c>
      <c r="H8" s="22">
        <v>2</v>
      </c>
      <c r="I8" s="16">
        <v>7</v>
      </c>
      <c r="J8" s="17">
        <v>62</v>
      </c>
      <c r="K8" s="18">
        <v>1</v>
      </c>
      <c r="L8" s="18">
        <v>11</v>
      </c>
      <c r="M8" s="18">
        <v>27</v>
      </c>
      <c r="N8" s="18">
        <v>0</v>
      </c>
      <c r="O8" s="16">
        <f t="shared" si="0"/>
        <v>29</v>
      </c>
      <c r="P8" s="17">
        <f t="shared" si="1"/>
        <v>139</v>
      </c>
      <c r="Q8" s="18">
        <f t="shared" si="2"/>
        <v>3</v>
      </c>
    </row>
    <row r="9" spans="1:17" ht="27" x14ac:dyDescent="0.3">
      <c r="A9" s="9">
        <v>5</v>
      </c>
      <c r="B9" s="19" t="s">
        <v>7</v>
      </c>
      <c r="C9" s="24">
        <v>2</v>
      </c>
      <c r="D9" s="21">
        <v>54</v>
      </c>
      <c r="E9" s="22">
        <v>0</v>
      </c>
      <c r="F9" s="23">
        <v>6</v>
      </c>
      <c r="G9" s="21">
        <v>84</v>
      </c>
      <c r="H9" s="22">
        <v>0</v>
      </c>
      <c r="I9" s="16">
        <v>12</v>
      </c>
      <c r="J9" s="17">
        <v>127</v>
      </c>
      <c r="K9" s="18">
        <v>0</v>
      </c>
      <c r="L9" s="18">
        <v>9</v>
      </c>
      <c r="M9" s="18">
        <v>80</v>
      </c>
      <c r="N9" s="18">
        <v>0</v>
      </c>
      <c r="O9" s="16">
        <f t="shared" si="0"/>
        <v>29</v>
      </c>
      <c r="P9" s="17">
        <f t="shared" si="1"/>
        <v>345</v>
      </c>
      <c r="Q9" s="18">
        <f t="shared" si="2"/>
        <v>0</v>
      </c>
    </row>
    <row r="10" spans="1:17" ht="27" x14ac:dyDescent="0.3">
      <c r="A10" s="9">
        <v>6</v>
      </c>
      <c r="B10" s="19" t="s">
        <v>8</v>
      </c>
      <c r="C10" s="24">
        <v>16</v>
      </c>
      <c r="D10" s="21">
        <v>30</v>
      </c>
      <c r="E10" s="22">
        <v>0</v>
      </c>
      <c r="F10" s="23">
        <v>22</v>
      </c>
      <c r="G10" s="21">
        <v>44</v>
      </c>
      <c r="H10" s="22">
        <v>0</v>
      </c>
      <c r="I10" s="16">
        <v>32</v>
      </c>
      <c r="J10" s="17">
        <v>76</v>
      </c>
      <c r="K10" s="18">
        <v>11</v>
      </c>
      <c r="L10" s="18">
        <v>26</v>
      </c>
      <c r="M10" s="18">
        <v>46</v>
      </c>
      <c r="N10" s="18">
        <v>9</v>
      </c>
      <c r="O10" s="16">
        <f t="shared" si="0"/>
        <v>96</v>
      </c>
      <c r="P10" s="17">
        <f t="shared" si="1"/>
        <v>196</v>
      </c>
      <c r="Q10" s="18">
        <f t="shared" si="2"/>
        <v>20</v>
      </c>
    </row>
    <row r="11" spans="1:17" ht="27" x14ac:dyDescent="0.3">
      <c r="A11" s="9">
        <v>7</v>
      </c>
      <c r="B11" s="19" t="s">
        <v>9</v>
      </c>
      <c r="C11" s="24">
        <v>4</v>
      </c>
      <c r="D11" s="21">
        <v>4</v>
      </c>
      <c r="E11" s="22">
        <v>1</v>
      </c>
      <c r="F11" s="23">
        <v>1</v>
      </c>
      <c r="G11" s="21">
        <v>10</v>
      </c>
      <c r="H11" s="22">
        <v>2</v>
      </c>
      <c r="I11" s="16">
        <v>6</v>
      </c>
      <c r="J11" s="17">
        <v>23</v>
      </c>
      <c r="K11" s="18">
        <v>2</v>
      </c>
      <c r="L11" s="18">
        <v>4</v>
      </c>
      <c r="M11" s="18">
        <v>40</v>
      </c>
      <c r="N11" s="18">
        <v>1</v>
      </c>
      <c r="O11" s="16">
        <f t="shared" si="0"/>
        <v>15</v>
      </c>
      <c r="P11" s="17">
        <f t="shared" si="1"/>
        <v>77</v>
      </c>
      <c r="Q11" s="18">
        <f t="shared" si="2"/>
        <v>6</v>
      </c>
    </row>
    <row r="12" spans="1:17" ht="27" x14ac:dyDescent="0.3">
      <c r="A12" s="9">
        <v>8</v>
      </c>
      <c r="B12" s="19" t="s">
        <v>10</v>
      </c>
      <c r="C12" s="24">
        <v>1</v>
      </c>
      <c r="D12" s="21">
        <v>1</v>
      </c>
      <c r="E12" s="22">
        <v>0</v>
      </c>
      <c r="F12" s="23">
        <v>3</v>
      </c>
      <c r="G12" s="21">
        <v>0</v>
      </c>
      <c r="H12" s="22">
        <v>0</v>
      </c>
      <c r="I12" s="16">
        <v>11</v>
      </c>
      <c r="J12" s="17">
        <v>7</v>
      </c>
      <c r="K12" s="18">
        <v>0</v>
      </c>
      <c r="L12" s="18">
        <v>9</v>
      </c>
      <c r="M12" s="18">
        <v>10</v>
      </c>
      <c r="N12" s="18">
        <v>0</v>
      </c>
      <c r="O12" s="16">
        <f t="shared" si="0"/>
        <v>24</v>
      </c>
      <c r="P12" s="17">
        <f t="shared" si="1"/>
        <v>18</v>
      </c>
      <c r="Q12" s="18">
        <f t="shared" si="2"/>
        <v>0</v>
      </c>
    </row>
    <row r="13" spans="1:17" ht="27" x14ac:dyDescent="0.3">
      <c r="A13" s="9">
        <v>9</v>
      </c>
      <c r="B13" s="19" t="s">
        <v>11</v>
      </c>
      <c r="C13" s="24">
        <v>24</v>
      </c>
      <c r="D13" s="21">
        <v>26</v>
      </c>
      <c r="E13" s="22">
        <v>7</v>
      </c>
      <c r="F13" s="23">
        <v>33</v>
      </c>
      <c r="G13" s="21">
        <v>47</v>
      </c>
      <c r="H13" s="22">
        <v>5</v>
      </c>
      <c r="I13" s="16">
        <v>39</v>
      </c>
      <c r="J13" s="17">
        <v>99</v>
      </c>
      <c r="K13" s="18">
        <v>1</v>
      </c>
      <c r="L13" s="18">
        <v>15</v>
      </c>
      <c r="M13" s="18">
        <v>44</v>
      </c>
      <c r="N13" s="18">
        <v>8</v>
      </c>
      <c r="O13" s="16">
        <f t="shared" si="0"/>
        <v>111</v>
      </c>
      <c r="P13" s="17">
        <f t="shared" si="1"/>
        <v>216</v>
      </c>
      <c r="Q13" s="18">
        <f t="shared" si="2"/>
        <v>21</v>
      </c>
    </row>
    <row r="14" spans="1:17" ht="27" x14ac:dyDescent="0.3">
      <c r="A14" s="9">
        <v>10</v>
      </c>
      <c r="B14" s="19" t="s">
        <v>12</v>
      </c>
      <c r="C14" s="24">
        <v>4</v>
      </c>
      <c r="D14" s="21">
        <v>30</v>
      </c>
      <c r="E14" s="22">
        <v>0</v>
      </c>
      <c r="F14" s="23">
        <v>14</v>
      </c>
      <c r="G14" s="21">
        <v>36</v>
      </c>
      <c r="H14" s="22">
        <v>1</v>
      </c>
      <c r="I14" s="16">
        <v>15</v>
      </c>
      <c r="J14" s="17">
        <v>55</v>
      </c>
      <c r="K14" s="18">
        <v>0</v>
      </c>
      <c r="L14" s="18">
        <v>18</v>
      </c>
      <c r="M14" s="18">
        <v>51</v>
      </c>
      <c r="N14" s="18">
        <v>4</v>
      </c>
      <c r="O14" s="16">
        <f t="shared" si="0"/>
        <v>51</v>
      </c>
      <c r="P14" s="17">
        <f t="shared" si="1"/>
        <v>172</v>
      </c>
      <c r="Q14" s="18">
        <f t="shared" si="2"/>
        <v>5</v>
      </c>
    </row>
    <row r="15" spans="1:17" ht="27" x14ac:dyDescent="0.3">
      <c r="A15" s="9">
        <v>11</v>
      </c>
      <c r="B15" s="19" t="s">
        <v>13</v>
      </c>
      <c r="C15" s="24">
        <v>0</v>
      </c>
      <c r="D15" s="21">
        <v>26</v>
      </c>
      <c r="E15" s="22">
        <v>0</v>
      </c>
      <c r="F15" s="23">
        <v>28</v>
      </c>
      <c r="G15" s="21">
        <v>73</v>
      </c>
      <c r="H15" s="22">
        <v>0</v>
      </c>
      <c r="I15" s="16">
        <v>24</v>
      </c>
      <c r="J15" s="17">
        <v>89</v>
      </c>
      <c r="K15" s="18">
        <v>0</v>
      </c>
      <c r="L15" s="18">
        <v>10</v>
      </c>
      <c r="M15" s="18">
        <v>62</v>
      </c>
      <c r="N15" s="18">
        <v>0</v>
      </c>
      <c r="O15" s="16">
        <f t="shared" si="0"/>
        <v>62</v>
      </c>
      <c r="P15" s="17">
        <f t="shared" si="1"/>
        <v>250</v>
      </c>
      <c r="Q15" s="18">
        <f t="shared" si="2"/>
        <v>0</v>
      </c>
    </row>
    <row r="16" spans="1:17" ht="27" x14ac:dyDescent="0.3">
      <c r="A16" s="25">
        <v>12</v>
      </c>
      <c r="B16" s="26" t="s">
        <v>15</v>
      </c>
      <c r="C16" s="27">
        <v>0</v>
      </c>
      <c r="D16" s="28">
        <v>0</v>
      </c>
      <c r="E16" s="29">
        <v>0</v>
      </c>
      <c r="F16" s="30">
        <v>2</v>
      </c>
      <c r="G16" s="28">
        <v>8</v>
      </c>
      <c r="H16" s="29">
        <v>0</v>
      </c>
      <c r="I16" s="31">
        <v>2</v>
      </c>
      <c r="J16" s="32">
        <v>14</v>
      </c>
      <c r="K16" s="33">
        <v>0</v>
      </c>
      <c r="L16" s="33">
        <v>1</v>
      </c>
      <c r="M16" s="33">
        <v>11</v>
      </c>
      <c r="N16" s="33">
        <v>0</v>
      </c>
      <c r="O16" s="31">
        <f t="shared" si="0"/>
        <v>5</v>
      </c>
      <c r="P16" s="32">
        <f t="shared" si="1"/>
        <v>33</v>
      </c>
      <c r="Q16" s="33">
        <f t="shared" si="2"/>
        <v>0</v>
      </c>
    </row>
    <row r="17" spans="1:17" ht="27.6" thickBot="1" x14ac:dyDescent="0.35">
      <c r="A17" s="25">
        <v>13</v>
      </c>
      <c r="B17" s="26" t="s">
        <v>24</v>
      </c>
      <c r="C17" s="27">
        <v>0</v>
      </c>
      <c r="D17" s="28">
        <v>0</v>
      </c>
      <c r="E17" s="29">
        <v>0</v>
      </c>
      <c r="F17" s="30">
        <v>0</v>
      </c>
      <c r="G17" s="28">
        <v>0</v>
      </c>
      <c r="H17" s="29">
        <v>0</v>
      </c>
      <c r="I17" s="31">
        <v>0</v>
      </c>
      <c r="J17" s="32">
        <v>0</v>
      </c>
      <c r="K17" s="33">
        <v>0</v>
      </c>
      <c r="L17" s="33">
        <v>0</v>
      </c>
      <c r="M17" s="33">
        <v>80</v>
      </c>
      <c r="N17" s="33">
        <v>0</v>
      </c>
      <c r="O17" s="31">
        <f t="shared" si="0"/>
        <v>0</v>
      </c>
      <c r="P17" s="32">
        <f t="shared" si="1"/>
        <v>80</v>
      </c>
      <c r="Q17" s="33">
        <f t="shared" si="2"/>
        <v>0</v>
      </c>
    </row>
    <row r="18" spans="1:17" ht="31.2" thickBot="1" x14ac:dyDescent="0.35">
      <c r="A18" s="34" t="s">
        <v>1</v>
      </c>
      <c r="B18" s="35" t="s">
        <v>14</v>
      </c>
      <c r="C18" s="36">
        <f t="shared" ref="C18:Q18" si="3">SUM(C5:C17)</f>
        <v>108</v>
      </c>
      <c r="D18" s="36">
        <f t="shared" si="3"/>
        <v>295</v>
      </c>
      <c r="E18" s="38">
        <f t="shared" si="3"/>
        <v>9</v>
      </c>
      <c r="F18" s="39">
        <f t="shared" si="3"/>
        <v>167</v>
      </c>
      <c r="G18" s="37">
        <f t="shared" si="3"/>
        <v>485</v>
      </c>
      <c r="H18" s="40">
        <f t="shared" si="3"/>
        <v>12</v>
      </c>
      <c r="I18" s="36">
        <f t="shared" si="3"/>
        <v>205</v>
      </c>
      <c r="J18" s="37">
        <f t="shared" si="3"/>
        <v>745</v>
      </c>
      <c r="K18" s="38">
        <f t="shared" si="3"/>
        <v>15</v>
      </c>
      <c r="L18" s="36">
        <f t="shared" si="3"/>
        <v>137</v>
      </c>
      <c r="M18" s="36">
        <f t="shared" si="3"/>
        <v>547</v>
      </c>
      <c r="N18" s="38">
        <f t="shared" si="3"/>
        <v>23</v>
      </c>
      <c r="O18" s="36">
        <f t="shared" si="3"/>
        <v>617</v>
      </c>
      <c r="P18" s="46">
        <f t="shared" si="3"/>
        <v>2072</v>
      </c>
      <c r="Q18" s="38">
        <f t="shared" si="3"/>
        <v>59</v>
      </c>
    </row>
  </sheetData>
  <mergeCells count="8">
    <mergeCell ref="L3:N3"/>
    <mergeCell ref="O3:Q3"/>
    <mergeCell ref="A2:Q2"/>
    <mergeCell ref="I3:K3"/>
    <mergeCell ref="B3:B4"/>
    <mergeCell ref="A3:A4"/>
    <mergeCell ref="C3:E3"/>
    <mergeCell ref="F3:H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A00E-FE2D-4E2E-9CBA-12346E8C505C}">
  <dimension ref="A1:N29"/>
  <sheetViews>
    <sheetView topLeftCell="A11" zoomScale="70" zoomScaleNormal="70" workbookViewId="0">
      <selection activeCell="L17" activeCellId="1" sqref="L22:N22 L17:N17"/>
    </sheetView>
  </sheetViews>
  <sheetFormatPr defaultRowHeight="14.4" x14ac:dyDescent="0.3"/>
  <cols>
    <col min="1" max="1" width="6.33203125" customWidth="1"/>
    <col min="2" max="2" width="28.33203125" style="57" customWidth="1"/>
    <col min="3" max="4" width="15.44140625" style="6" customWidth="1"/>
    <col min="5" max="6" width="16.77734375" style="6" customWidth="1"/>
    <col min="7" max="7" width="27.44140625" style="6" customWidth="1"/>
    <col min="8" max="8" width="8.88671875" customWidth="1"/>
    <col min="11" max="11" width="22.21875" customWidth="1"/>
  </cols>
  <sheetData>
    <row r="1" spans="1:7" ht="94.2" customHeight="1" thickBot="1" x14ac:dyDescent="0.35">
      <c r="A1" s="1"/>
      <c r="B1" s="52"/>
      <c r="C1" s="5"/>
      <c r="D1" s="5"/>
    </row>
    <row r="2" spans="1:7" ht="43.2" customHeight="1" thickBot="1" x14ac:dyDescent="0.35">
      <c r="A2" s="88" t="s">
        <v>22</v>
      </c>
      <c r="B2" s="89"/>
      <c r="C2" s="89"/>
      <c r="D2" s="89"/>
      <c r="E2" s="89"/>
      <c r="F2" s="89"/>
      <c r="G2" s="90"/>
    </row>
    <row r="3" spans="1:7" ht="30.6" x14ac:dyDescent="0.3">
      <c r="A3" s="91" t="s">
        <v>1</v>
      </c>
      <c r="B3" s="93" t="s">
        <v>2</v>
      </c>
      <c r="C3" s="59" t="s">
        <v>25</v>
      </c>
      <c r="D3" s="60" t="s">
        <v>26</v>
      </c>
      <c r="E3" s="59" t="s">
        <v>27</v>
      </c>
      <c r="F3" s="59" t="s">
        <v>28</v>
      </c>
      <c r="G3" s="47" t="s">
        <v>21</v>
      </c>
    </row>
    <row r="4" spans="1:7" ht="33" customHeight="1" thickBot="1" x14ac:dyDescent="0.35">
      <c r="A4" s="92"/>
      <c r="B4" s="94"/>
      <c r="C4" s="7" t="s">
        <v>16</v>
      </c>
      <c r="D4" s="10" t="s">
        <v>16</v>
      </c>
      <c r="E4" s="7" t="s">
        <v>16</v>
      </c>
      <c r="F4" s="7" t="s">
        <v>16</v>
      </c>
      <c r="G4" s="48" t="s">
        <v>16</v>
      </c>
    </row>
    <row r="5" spans="1:7" ht="27" x14ac:dyDescent="0.3">
      <c r="A5" s="8">
        <v>1</v>
      </c>
      <c r="B5" s="53" t="s">
        <v>0</v>
      </c>
      <c r="C5" s="12">
        <v>35</v>
      </c>
      <c r="D5" s="15">
        <v>20</v>
      </c>
      <c r="E5" s="41">
        <v>20</v>
      </c>
      <c r="F5" s="43">
        <v>17</v>
      </c>
      <c r="G5" s="49">
        <f t="shared" ref="G5:G16" si="0">C5+D5+E5+F5</f>
        <v>92</v>
      </c>
    </row>
    <row r="6" spans="1:7" ht="27" x14ac:dyDescent="0.3">
      <c r="A6" s="9">
        <v>2</v>
      </c>
      <c r="B6" s="54" t="s">
        <v>4</v>
      </c>
      <c r="C6" s="20">
        <v>6</v>
      </c>
      <c r="D6" s="23">
        <v>6</v>
      </c>
      <c r="E6" s="16">
        <v>12</v>
      </c>
      <c r="F6" s="18">
        <v>7</v>
      </c>
      <c r="G6" s="50">
        <f t="shared" si="0"/>
        <v>31</v>
      </c>
    </row>
    <row r="7" spans="1:7" ht="54" x14ac:dyDescent="0.3">
      <c r="A7" s="9">
        <v>3</v>
      </c>
      <c r="B7" s="54" t="s">
        <v>5</v>
      </c>
      <c r="C7" s="20">
        <v>11</v>
      </c>
      <c r="D7" s="23">
        <v>26</v>
      </c>
      <c r="E7" s="16">
        <v>25</v>
      </c>
      <c r="F7" s="18">
        <v>10</v>
      </c>
      <c r="G7" s="50">
        <f t="shared" si="0"/>
        <v>72</v>
      </c>
    </row>
    <row r="8" spans="1:7" ht="27" x14ac:dyDescent="0.3">
      <c r="A8" s="9">
        <v>4</v>
      </c>
      <c r="B8" s="54" t="s">
        <v>6</v>
      </c>
      <c r="C8" s="24">
        <v>5</v>
      </c>
      <c r="D8" s="23">
        <v>6</v>
      </c>
      <c r="E8" s="16">
        <v>7</v>
      </c>
      <c r="F8" s="18">
        <v>11</v>
      </c>
      <c r="G8" s="50">
        <f t="shared" si="0"/>
        <v>29</v>
      </c>
    </row>
    <row r="9" spans="1:7" ht="27" x14ac:dyDescent="0.3">
      <c r="A9" s="9">
        <v>5</v>
      </c>
      <c r="B9" s="54" t="s">
        <v>7</v>
      </c>
      <c r="C9" s="24">
        <v>2</v>
      </c>
      <c r="D9" s="23">
        <v>6</v>
      </c>
      <c r="E9" s="16">
        <v>12</v>
      </c>
      <c r="F9" s="18">
        <v>9</v>
      </c>
      <c r="G9" s="50">
        <f t="shared" si="0"/>
        <v>29</v>
      </c>
    </row>
    <row r="10" spans="1:7" ht="27" x14ac:dyDescent="0.3">
      <c r="A10" s="9">
        <v>6</v>
      </c>
      <c r="B10" s="54" t="s">
        <v>8</v>
      </c>
      <c r="C10" s="24">
        <v>16</v>
      </c>
      <c r="D10" s="23">
        <v>22</v>
      </c>
      <c r="E10" s="16">
        <v>32</v>
      </c>
      <c r="F10" s="18">
        <v>26</v>
      </c>
      <c r="G10" s="50">
        <f t="shared" si="0"/>
        <v>96</v>
      </c>
    </row>
    <row r="11" spans="1:7" ht="27" x14ac:dyDescent="0.3">
      <c r="A11" s="9">
        <v>7</v>
      </c>
      <c r="B11" s="54" t="s">
        <v>9</v>
      </c>
      <c r="C11" s="24">
        <v>4</v>
      </c>
      <c r="D11" s="23">
        <v>1</v>
      </c>
      <c r="E11" s="16">
        <v>6</v>
      </c>
      <c r="F11" s="18">
        <v>4</v>
      </c>
      <c r="G11" s="50">
        <f t="shared" si="0"/>
        <v>15</v>
      </c>
    </row>
    <row r="12" spans="1:7" ht="27" x14ac:dyDescent="0.3">
      <c r="A12" s="9">
        <v>8</v>
      </c>
      <c r="B12" s="54" t="s">
        <v>10</v>
      </c>
      <c r="C12" s="24">
        <v>1</v>
      </c>
      <c r="D12" s="23">
        <v>3</v>
      </c>
      <c r="E12" s="16">
        <v>11</v>
      </c>
      <c r="F12" s="18">
        <v>9</v>
      </c>
      <c r="G12" s="50">
        <f t="shared" si="0"/>
        <v>24</v>
      </c>
    </row>
    <row r="13" spans="1:7" ht="27" x14ac:dyDescent="0.3">
      <c r="A13" s="9">
        <v>9</v>
      </c>
      <c r="B13" s="54" t="s">
        <v>11</v>
      </c>
      <c r="C13" s="24">
        <v>24</v>
      </c>
      <c r="D13" s="23">
        <v>33</v>
      </c>
      <c r="E13" s="16">
        <v>39</v>
      </c>
      <c r="F13" s="18">
        <v>15</v>
      </c>
      <c r="G13" s="50">
        <f t="shared" si="0"/>
        <v>111</v>
      </c>
    </row>
    <row r="14" spans="1:7" ht="27" x14ac:dyDescent="0.3">
      <c r="A14" s="9">
        <v>10</v>
      </c>
      <c r="B14" s="54" t="s">
        <v>12</v>
      </c>
      <c r="C14" s="24">
        <v>4</v>
      </c>
      <c r="D14" s="23">
        <v>14</v>
      </c>
      <c r="E14" s="16">
        <v>15</v>
      </c>
      <c r="F14" s="18">
        <v>18</v>
      </c>
      <c r="G14" s="50">
        <f t="shared" si="0"/>
        <v>51</v>
      </c>
    </row>
    <row r="15" spans="1:7" ht="54" x14ac:dyDescent="0.3">
      <c r="A15" s="9">
        <v>11</v>
      </c>
      <c r="B15" s="54" t="s">
        <v>13</v>
      </c>
      <c r="C15" s="24">
        <v>0</v>
      </c>
      <c r="D15" s="23">
        <v>28</v>
      </c>
      <c r="E15" s="16">
        <v>24</v>
      </c>
      <c r="F15" s="18">
        <v>10</v>
      </c>
      <c r="G15" s="50">
        <f t="shared" si="0"/>
        <v>62</v>
      </c>
    </row>
    <row r="16" spans="1:7" ht="27.6" thickBot="1" x14ac:dyDescent="0.35">
      <c r="A16" s="25">
        <v>12</v>
      </c>
      <c r="B16" s="55" t="s">
        <v>15</v>
      </c>
      <c r="C16" s="27">
        <v>0</v>
      </c>
      <c r="D16" s="30">
        <v>2</v>
      </c>
      <c r="E16" s="31">
        <v>2</v>
      </c>
      <c r="F16" s="33">
        <v>1</v>
      </c>
      <c r="G16" s="51">
        <f t="shared" si="0"/>
        <v>5</v>
      </c>
    </row>
    <row r="17" spans="1:14" ht="31.2" thickBot="1" x14ac:dyDescent="0.8">
      <c r="A17" s="34" t="s">
        <v>1</v>
      </c>
      <c r="B17" s="56" t="s">
        <v>14</v>
      </c>
      <c r="C17" s="36">
        <f t="shared" ref="C17:D17" si="1">SUM(C5:C16)</f>
        <v>108</v>
      </c>
      <c r="D17" s="39">
        <f t="shared" si="1"/>
        <v>167</v>
      </c>
      <c r="E17" s="36">
        <f>SUM(E5:E16)</f>
        <v>205</v>
      </c>
      <c r="F17" s="36">
        <f>SUM(F5:F16)</f>
        <v>137</v>
      </c>
      <c r="G17" s="35">
        <f>SUM(G5:G16)</f>
        <v>617</v>
      </c>
      <c r="L17" s="85" t="s">
        <v>29</v>
      </c>
      <c r="M17" s="85" t="s">
        <v>30</v>
      </c>
      <c r="N17" s="85" t="s">
        <v>31</v>
      </c>
    </row>
    <row r="18" spans="1:14" ht="23.4" x14ac:dyDescent="0.3">
      <c r="L18" s="86">
        <v>75</v>
      </c>
      <c r="M18" s="86">
        <v>23</v>
      </c>
      <c r="N18" s="86">
        <v>10</v>
      </c>
    </row>
    <row r="19" spans="1:14" ht="27" x14ac:dyDescent="0.3">
      <c r="L19" s="87">
        <v>127</v>
      </c>
      <c r="M19" s="87">
        <v>26</v>
      </c>
      <c r="N19" s="87">
        <v>14</v>
      </c>
    </row>
    <row r="20" spans="1:14" ht="23.4" x14ac:dyDescent="0.3">
      <c r="L20" s="86">
        <v>116</v>
      </c>
      <c r="M20" s="86">
        <v>67</v>
      </c>
      <c r="N20" s="86">
        <v>22</v>
      </c>
    </row>
    <row r="21" spans="1:14" ht="23.4" x14ac:dyDescent="0.3">
      <c r="L21" s="86">
        <v>76</v>
      </c>
      <c r="M21" s="86">
        <v>44</v>
      </c>
      <c r="N21" s="86">
        <v>17</v>
      </c>
    </row>
    <row r="22" spans="1:14" ht="23.4" x14ac:dyDescent="0.3">
      <c r="L22" s="86">
        <f>SUM(L18:L21)</f>
        <v>394</v>
      </c>
      <c r="M22" s="86">
        <f t="shared" ref="M22:N22" si="2">SUM(M18:M21)</f>
        <v>160</v>
      </c>
      <c r="N22" s="86">
        <f t="shared" si="2"/>
        <v>63</v>
      </c>
    </row>
    <row r="23" spans="1:14" ht="23.4" x14ac:dyDescent="0.3">
      <c r="L23" s="86">
        <f>L22/(L22+M22+N22)*100</f>
        <v>63.857374392220422</v>
      </c>
      <c r="M23" s="86">
        <f>M22/(L22+M22+N22)*100</f>
        <v>25.931928687196109</v>
      </c>
      <c r="N23" s="86">
        <f>N22/(L22+M22+N22)*100</f>
        <v>10.210696920583469</v>
      </c>
    </row>
    <row r="24" spans="1:14" ht="23.4" x14ac:dyDescent="0.3">
      <c r="L24" s="86"/>
      <c r="M24" s="86"/>
      <c r="N24" s="86"/>
    </row>
    <row r="25" spans="1:14" ht="23.4" x14ac:dyDescent="0.3">
      <c r="L25" s="86"/>
      <c r="M25" s="86"/>
      <c r="N25" s="86"/>
    </row>
    <row r="26" spans="1:14" ht="23.4" x14ac:dyDescent="0.3">
      <c r="L26" s="86"/>
      <c r="M26" s="86"/>
      <c r="N26" s="86"/>
    </row>
    <row r="27" spans="1:14" ht="23.4" x14ac:dyDescent="0.3">
      <c r="L27" s="86"/>
      <c r="M27" s="86"/>
      <c r="N27" s="86"/>
    </row>
    <row r="28" spans="1:14" ht="23.4" x14ac:dyDescent="0.3">
      <c r="L28" s="86"/>
      <c r="M28" s="86"/>
      <c r="N28" s="86"/>
    </row>
    <row r="29" spans="1:14" ht="27" x14ac:dyDescent="0.3">
      <c r="L29" s="87"/>
      <c r="M29" s="87"/>
      <c r="N29" s="87"/>
    </row>
  </sheetData>
  <mergeCells count="3">
    <mergeCell ref="A2:G2"/>
    <mergeCell ref="A3:A4"/>
    <mergeCell ref="B3:B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5358-D9AF-4890-88CB-7E16D8652FAA}">
  <dimension ref="A1:G18"/>
  <sheetViews>
    <sheetView topLeftCell="A2" zoomScale="85" zoomScaleNormal="85" workbookViewId="0">
      <selection activeCell="C3" sqref="C3:F3"/>
    </sheetView>
  </sheetViews>
  <sheetFormatPr defaultRowHeight="14.4" x14ac:dyDescent="0.3"/>
  <cols>
    <col min="1" max="1" width="6.33203125" customWidth="1"/>
    <col min="2" max="2" width="35.77734375" customWidth="1"/>
    <col min="3" max="7" width="11.44140625" style="6" customWidth="1"/>
    <col min="8" max="8" width="8.88671875" customWidth="1"/>
    <col min="11" max="11" width="22.21875" customWidth="1"/>
    <col min="13" max="13" width="12.6640625" customWidth="1"/>
    <col min="14" max="14" width="17.88671875" customWidth="1"/>
  </cols>
  <sheetData>
    <row r="1" spans="1:7" ht="94.2" customHeight="1" thickBot="1" x14ac:dyDescent="0.35">
      <c r="A1" s="1"/>
      <c r="B1" s="2"/>
      <c r="C1" s="5"/>
      <c r="D1" s="5"/>
    </row>
    <row r="2" spans="1:7" ht="43.2" customHeight="1" thickBot="1" x14ac:dyDescent="0.35">
      <c r="A2" s="102" t="s">
        <v>22</v>
      </c>
      <c r="B2" s="103"/>
      <c r="C2" s="103"/>
      <c r="D2" s="103"/>
      <c r="E2" s="103"/>
      <c r="F2" s="103"/>
      <c r="G2" s="104"/>
    </row>
    <row r="3" spans="1:7" ht="27" x14ac:dyDescent="0.3">
      <c r="A3" s="91" t="s">
        <v>1</v>
      </c>
      <c r="B3" s="105" t="s">
        <v>2</v>
      </c>
      <c r="C3" s="59" t="s">
        <v>25</v>
      </c>
      <c r="D3" s="60" t="s">
        <v>26</v>
      </c>
      <c r="E3" s="59" t="s">
        <v>27</v>
      </c>
      <c r="F3" s="59" t="s">
        <v>28</v>
      </c>
      <c r="G3" s="61" t="s">
        <v>21</v>
      </c>
    </row>
    <row r="4" spans="1:7" ht="33" customHeight="1" thickBot="1" x14ac:dyDescent="0.35">
      <c r="A4" s="92"/>
      <c r="B4" s="106"/>
      <c r="C4" s="3" t="s">
        <v>3</v>
      </c>
      <c r="D4" s="3" t="s">
        <v>3</v>
      </c>
      <c r="E4" s="3" t="s">
        <v>3</v>
      </c>
      <c r="F4" s="3" t="s">
        <v>3</v>
      </c>
      <c r="G4" s="4" t="s">
        <v>3</v>
      </c>
    </row>
    <row r="5" spans="1:7" ht="23.4" x14ac:dyDescent="0.3">
      <c r="A5" s="8">
        <v>1</v>
      </c>
      <c r="B5" s="62" t="s">
        <v>0</v>
      </c>
      <c r="C5" s="63">
        <v>90</v>
      </c>
      <c r="D5" s="63">
        <v>108</v>
      </c>
      <c r="E5" s="64">
        <v>131</v>
      </c>
      <c r="F5" s="65">
        <v>65</v>
      </c>
      <c r="G5" s="65">
        <f t="shared" ref="G5:G17" si="0">C5+D5+E5+F5</f>
        <v>394</v>
      </c>
    </row>
    <row r="6" spans="1:7" ht="23.4" x14ac:dyDescent="0.3">
      <c r="A6" s="9">
        <v>2</v>
      </c>
      <c r="B6" s="66" t="s">
        <v>4</v>
      </c>
      <c r="C6" s="67">
        <v>6</v>
      </c>
      <c r="D6" s="67">
        <v>12</v>
      </c>
      <c r="E6" s="58">
        <v>28</v>
      </c>
      <c r="F6" s="68">
        <v>4</v>
      </c>
      <c r="G6" s="68">
        <f t="shared" si="0"/>
        <v>50</v>
      </c>
    </row>
    <row r="7" spans="1:7" ht="23.4" x14ac:dyDescent="0.3">
      <c r="A7" s="9">
        <v>3</v>
      </c>
      <c r="B7" s="66" t="s">
        <v>5</v>
      </c>
      <c r="C7" s="67">
        <v>23</v>
      </c>
      <c r="D7" s="67">
        <v>18</v>
      </c>
      <c r="E7" s="58">
        <v>34</v>
      </c>
      <c r="F7" s="68">
        <v>27</v>
      </c>
      <c r="G7" s="68">
        <f t="shared" si="0"/>
        <v>102</v>
      </c>
    </row>
    <row r="8" spans="1:7" ht="23.4" x14ac:dyDescent="0.3">
      <c r="A8" s="9">
        <v>4</v>
      </c>
      <c r="B8" s="66" t="s">
        <v>6</v>
      </c>
      <c r="C8" s="67">
        <v>5</v>
      </c>
      <c r="D8" s="67">
        <v>45</v>
      </c>
      <c r="E8" s="58">
        <v>62</v>
      </c>
      <c r="F8" s="68">
        <v>27</v>
      </c>
      <c r="G8" s="68">
        <f t="shared" si="0"/>
        <v>139</v>
      </c>
    </row>
    <row r="9" spans="1:7" ht="23.4" x14ac:dyDescent="0.3">
      <c r="A9" s="9">
        <v>5</v>
      </c>
      <c r="B9" s="66" t="s">
        <v>7</v>
      </c>
      <c r="C9" s="67">
        <v>54</v>
      </c>
      <c r="D9" s="67">
        <v>84</v>
      </c>
      <c r="E9" s="58">
        <v>127</v>
      </c>
      <c r="F9" s="68">
        <v>80</v>
      </c>
      <c r="G9" s="68">
        <f t="shared" si="0"/>
        <v>345</v>
      </c>
    </row>
    <row r="10" spans="1:7" ht="23.4" x14ac:dyDescent="0.3">
      <c r="A10" s="9">
        <v>6</v>
      </c>
      <c r="B10" s="66" t="s">
        <v>8</v>
      </c>
      <c r="C10" s="67">
        <v>30</v>
      </c>
      <c r="D10" s="67">
        <v>44</v>
      </c>
      <c r="E10" s="58">
        <v>76</v>
      </c>
      <c r="F10" s="68">
        <v>46</v>
      </c>
      <c r="G10" s="68">
        <f t="shared" si="0"/>
        <v>196</v>
      </c>
    </row>
    <row r="11" spans="1:7" ht="23.4" x14ac:dyDescent="0.3">
      <c r="A11" s="9">
        <v>7</v>
      </c>
      <c r="B11" s="66" t="s">
        <v>9</v>
      </c>
      <c r="C11" s="67">
        <v>4</v>
      </c>
      <c r="D11" s="67">
        <v>10</v>
      </c>
      <c r="E11" s="58">
        <v>23</v>
      </c>
      <c r="F11" s="68">
        <v>40</v>
      </c>
      <c r="G11" s="68">
        <f t="shared" si="0"/>
        <v>77</v>
      </c>
    </row>
    <row r="12" spans="1:7" ht="23.4" x14ac:dyDescent="0.3">
      <c r="A12" s="9">
        <v>8</v>
      </c>
      <c r="B12" s="66" t="s">
        <v>10</v>
      </c>
      <c r="C12" s="67">
        <v>1</v>
      </c>
      <c r="D12" s="67">
        <v>0</v>
      </c>
      <c r="E12" s="58">
        <v>7</v>
      </c>
      <c r="F12" s="68">
        <v>10</v>
      </c>
      <c r="G12" s="68">
        <f t="shared" si="0"/>
        <v>18</v>
      </c>
    </row>
    <row r="13" spans="1:7" ht="23.4" x14ac:dyDescent="0.3">
      <c r="A13" s="9">
        <v>9</v>
      </c>
      <c r="B13" s="66" t="s">
        <v>11</v>
      </c>
      <c r="C13" s="67">
        <v>26</v>
      </c>
      <c r="D13" s="67">
        <v>47</v>
      </c>
      <c r="E13" s="58">
        <v>99</v>
      </c>
      <c r="F13" s="68">
        <v>44</v>
      </c>
      <c r="G13" s="68">
        <f t="shared" si="0"/>
        <v>216</v>
      </c>
    </row>
    <row r="14" spans="1:7" ht="23.4" x14ac:dyDescent="0.3">
      <c r="A14" s="9">
        <v>10</v>
      </c>
      <c r="B14" s="66" t="s">
        <v>12</v>
      </c>
      <c r="C14" s="67">
        <v>30</v>
      </c>
      <c r="D14" s="67">
        <v>36</v>
      </c>
      <c r="E14" s="58">
        <v>55</v>
      </c>
      <c r="F14" s="68">
        <v>51</v>
      </c>
      <c r="G14" s="68">
        <f t="shared" si="0"/>
        <v>172</v>
      </c>
    </row>
    <row r="15" spans="1:7" ht="23.4" x14ac:dyDescent="0.3">
      <c r="A15" s="9">
        <v>11</v>
      </c>
      <c r="B15" s="66" t="s">
        <v>13</v>
      </c>
      <c r="C15" s="67">
        <v>26</v>
      </c>
      <c r="D15" s="67">
        <v>73</v>
      </c>
      <c r="E15" s="58">
        <v>89</v>
      </c>
      <c r="F15" s="68">
        <v>62</v>
      </c>
      <c r="G15" s="68">
        <f t="shared" si="0"/>
        <v>250</v>
      </c>
    </row>
    <row r="16" spans="1:7" ht="23.4" x14ac:dyDescent="0.3">
      <c r="A16" s="25">
        <v>12</v>
      </c>
      <c r="B16" s="69" t="s">
        <v>15</v>
      </c>
      <c r="C16" s="70">
        <v>0</v>
      </c>
      <c r="D16" s="70">
        <v>8</v>
      </c>
      <c r="E16" s="71">
        <v>14</v>
      </c>
      <c r="F16" s="72">
        <v>11</v>
      </c>
      <c r="G16" s="72">
        <f t="shared" si="0"/>
        <v>33</v>
      </c>
    </row>
    <row r="17" spans="1:7" ht="24" thickBot="1" x14ac:dyDescent="0.35">
      <c r="A17" s="9">
        <v>13</v>
      </c>
      <c r="B17" s="66" t="s">
        <v>24</v>
      </c>
      <c r="C17" s="67">
        <v>0</v>
      </c>
      <c r="D17" s="67">
        <v>0</v>
      </c>
      <c r="E17" s="58">
        <v>0</v>
      </c>
      <c r="F17" s="72">
        <v>80</v>
      </c>
      <c r="G17" s="68">
        <f t="shared" si="0"/>
        <v>80</v>
      </c>
    </row>
    <row r="18" spans="1:7" ht="31.2" thickBot="1" x14ac:dyDescent="0.35">
      <c r="A18" s="34" t="s">
        <v>1</v>
      </c>
      <c r="B18" s="35" t="s">
        <v>14</v>
      </c>
      <c r="C18" s="36">
        <f>SUM(C5:C17)</f>
        <v>295</v>
      </c>
      <c r="D18" s="37">
        <f>SUM(D5:D17)</f>
        <v>485</v>
      </c>
      <c r="E18" s="37">
        <f>SUM(E5:E17)</f>
        <v>745</v>
      </c>
      <c r="F18" s="40">
        <v>627</v>
      </c>
      <c r="G18" s="35">
        <f>SUM(G5:G17)</f>
        <v>2072</v>
      </c>
    </row>
  </sheetData>
  <mergeCells count="3">
    <mergeCell ref="A2:G2"/>
    <mergeCell ref="A3:A4"/>
    <mergeCell ref="B3:B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A551-F29F-4052-B0C4-1F0AC43696D9}">
  <dimension ref="A1:G17"/>
  <sheetViews>
    <sheetView topLeftCell="A2" zoomScale="70" zoomScaleNormal="70" workbookViewId="0">
      <selection activeCell="A3" sqref="A3:G17"/>
    </sheetView>
  </sheetViews>
  <sheetFormatPr defaultRowHeight="14.4" x14ac:dyDescent="0.3"/>
  <cols>
    <col min="1" max="1" width="6.33203125" customWidth="1"/>
    <col min="2" max="2" width="31.5546875" customWidth="1"/>
    <col min="3" max="7" width="13.77734375" style="6" customWidth="1"/>
    <col min="8" max="8" width="8.88671875" customWidth="1"/>
    <col min="11" max="11" width="22.21875" customWidth="1"/>
  </cols>
  <sheetData>
    <row r="1" spans="1:7" ht="94.2" customHeight="1" thickBot="1" x14ac:dyDescent="0.35">
      <c r="A1" s="1"/>
      <c r="B1" s="2"/>
      <c r="C1" s="5"/>
      <c r="D1" s="5"/>
    </row>
    <row r="2" spans="1:7" ht="43.2" customHeight="1" thickBot="1" x14ac:dyDescent="0.35">
      <c r="A2" s="107" t="s">
        <v>22</v>
      </c>
      <c r="B2" s="108"/>
      <c r="C2" s="108"/>
      <c r="D2" s="108"/>
      <c r="E2" s="108"/>
      <c r="F2" s="108"/>
      <c r="G2" s="109"/>
    </row>
    <row r="3" spans="1:7" ht="27" x14ac:dyDescent="0.3">
      <c r="A3" s="84" t="s">
        <v>1</v>
      </c>
      <c r="B3" s="73" t="s">
        <v>2</v>
      </c>
      <c r="C3" s="81" t="s">
        <v>20</v>
      </c>
      <c r="D3" s="82" t="s">
        <v>19</v>
      </c>
      <c r="E3" s="81" t="s">
        <v>18</v>
      </c>
      <c r="F3" s="81" t="s">
        <v>23</v>
      </c>
      <c r="G3" s="83" t="s">
        <v>21</v>
      </c>
    </row>
    <row r="4" spans="1:7" ht="27" x14ac:dyDescent="0.3">
      <c r="A4" s="74">
        <v>1</v>
      </c>
      <c r="B4" s="11" t="s">
        <v>0</v>
      </c>
      <c r="C4" s="14">
        <v>0</v>
      </c>
      <c r="D4" s="14">
        <v>0</v>
      </c>
      <c r="E4" s="43">
        <v>0</v>
      </c>
      <c r="F4" s="43">
        <v>0</v>
      </c>
      <c r="G4" s="43">
        <f t="shared" ref="G4:G16" si="0">C4+D4+E4+F4</f>
        <v>0</v>
      </c>
    </row>
    <row r="5" spans="1:7" ht="27" x14ac:dyDescent="0.3">
      <c r="A5" s="75">
        <v>2</v>
      </c>
      <c r="B5" s="19" t="s">
        <v>4</v>
      </c>
      <c r="C5" s="22">
        <v>1</v>
      </c>
      <c r="D5" s="22">
        <v>2</v>
      </c>
      <c r="E5" s="18">
        <v>0</v>
      </c>
      <c r="F5" s="18">
        <v>1</v>
      </c>
      <c r="G5" s="18">
        <f t="shared" si="0"/>
        <v>4</v>
      </c>
    </row>
    <row r="6" spans="1:7" ht="27" x14ac:dyDescent="0.3">
      <c r="A6" s="75">
        <v>3</v>
      </c>
      <c r="B6" s="19" t="s">
        <v>5</v>
      </c>
      <c r="C6" s="22">
        <v>0</v>
      </c>
      <c r="D6" s="22">
        <v>0</v>
      </c>
      <c r="E6" s="18">
        <v>0</v>
      </c>
      <c r="F6" s="18">
        <v>0</v>
      </c>
      <c r="G6" s="18">
        <f t="shared" si="0"/>
        <v>0</v>
      </c>
    </row>
    <row r="7" spans="1:7" ht="27" x14ac:dyDescent="0.3">
      <c r="A7" s="75">
        <v>4</v>
      </c>
      <c r="B7" s="19" t="s">
        <v>6</v>
      </c>
      <c r="C7" s="22">
        <v>0</v>
      </c>
      <c r="D7" s="22">
        <v>2</v>
      </c>
      <c r="E7" s="18">
        <v>1</v>
      </c>
      <c r="F7" s="18">
        <v>0</v>
      </c>
      <c r="G7" s="18">
        <f t="shared" si="0"/>
        <v>3</v>
      </c>
    </row>
    <row r="8" spans="1:7" ht="27" x14ac:dyDescent="0.3">
      <c r="A8" s="75">
        <v>5</v>
      </c>
      <c r="B8" s="19" t="s">
        <v>7</v>
      </c>
      <c r="C8" s="22">
        <v>0</v>
      </c>
      <c r="D8" s="22">
        <v>0</v>
      </c>
      <c r="E8" s="18">
        <v>0</v>
      </c>
      <c r="F8" s="18">
        <v>0</v>
      </c>
      <c r="G8" s="18">
        <f t="shared" si="0"/>
        <v>0</v>
      </c>
    </row>
    <row r="9" spans="1:7" ht="27" x14ac:dyDescent="0.3">
      <c r="A9" s="75">
        <v>6</v>
      </c>
      <c r="B9" s="19" t="s">
        <v>8</v>
      </c>
      <c r="C9" s="22">
        <v>0</v>
      </c>
      <c r="D9" s="22">
        <v>0</v>
      </c>
      <c r="E9" s="18">
        <v>11</v>
      </c>
      <c r="F9" s="18">
        <v>9</v>
      </c>
      <c r="G9" s="18">
        <f t="shared" si="0"/>
        <v>20</v>
      </c>
    </row>
    <row r="10" spans="1:7" ht="27" x14ac:dyDescent="0.3">
      <c r="A10" s="75">
        <v>7</v>
      </c>
      <c r="B10" s="19" t="s">
        <v>9</v>
      </c>
      <c r="C10" s="22">
        <v>1</v>
      </c>
      <c r="D10" s="22">
        <v>2</v>
      </c>
      <c r="E10" s="18">
        <v>2</v>
      </c>
      <c r="F10" s="18">
        <v>1</v>
      </c>
      <c r="G10" s="18">
        <f t="shared" si="0"/>
        <v>6</v>
      </c>
    </row>
    <row r="11" spans="1:7" ht="27" x14ac:dyDescent="0.3">
      <c r="A11" s="75">
        <v>8</v>
      </c>
      <c r="B11" s="19" t="s">
        <v>10</v>
      </c>
      <c r="C11" s="22">
        <v>0</v>
      </c>
      <c r="D11" s="22">
        <v>0</v>
      </c>
      <c r="E11" s="18">
        <v>0</v>
      </c>
      <c r="F11" s="18">
        <v>0</v>
      </c>
      <c r="G11" s="18">
        <f t="shared" si="0"/>
        <v>0</v>
      </c>
    </row>
    <row r="12" spans="1:7" ht="27" x14ac:dyDescent="0.3">
      <c r="A12" s="75">
        <v>9</v>
      </c>
      <c r="B12" s="19" t="s">
        <v>11</v>
      </c>
      <c r="C12" s="22">
        <v>7</v>
      </c>
      <c r="D12" s="22">
        <v>5</v>
      </c>
      <c r="E12" s="18">
        <v>1</v>
      </c>
      <c r="F12" s="18">
        <v>8</v>
      </c>
      <c r="G12" s="18">
        <f t="shared" si="0"/>
        <v>21</v>
      </c>
    </row>
    <row r="13" spans="1:7" ht="27" x14ac:dyDescent="0.3">
      <c r="A13" s="75">
        <v>10</v>
      </c>
      <c r="B13" s="19" t="s">
        <v>12</v>
      </c>
      <c r="C13" s="22">
        <v>0</v>
      </c>
      <c r="D13" s="22">
        <v>1</v>
      </c>
      <c r="E13" s="18">
        <v>0</v>
      </c>
      <c r="F13" s="18">
        <v>4</v>
      </c>
      <c r="G13" s="18">
        <f t="shared" si="0"/>
        <v>5</v>
      </c>
    </row>
    <row r="14" spans="1:7" ht="27" x14ac:dyDescent="0.3">
      <c r="A14" s="75">
        <v>11</v>
      </c>
      <c r="B14" s="19" t="s">
        <v>13</v>
      </c>
      <c r="C14" s="22">
        <v>0</v>
      </c>
      <c r="D14" s="22">
        <v>0</v>
      </c>
      <c r="E14" s="18">
        <v>0</v>
      </c>
      <c r="F14" s="18">
        <v>0</v>
      </c>
      <c r="G14" s="18">
        <f t="shared" si="0"/>
        <v>0</v>
      </c>
    </row>
    <row r="15" spans="1:7" ht="27" x14ac:dyDescent="0.3">
      <c r="A15" s="76">
        <v>12</v>
      </c>
      <c r="B15" s="26" t="s">
        <v>15</v>
      </c>
      <c r="C15" s="29">
        <v>0</v>
      </c>
      <c r="D15" s="29">
        <v>0</v>
      </c>
      <c r="E15" s="33">
        <v>0</v>
      </c>
      <c r="F15" s="33">
        <v>0</v>
      </c>
      <c r="G15" s="33">
        <f t="shared" si="0"/>
        <v>0</v>
      </c>
    </row>
    <row r="16" spans="1:7" ht="27.6" thickBot="1" x14ac:dyDescent="0.35">
      <c r="A16" s="76">
        <v>13</v>
      </c>
      <c r="B16" s="26" t="s">
        <v>24</v>
      </c>
      <c r="C16" s="29">
        <v>0</v>
      </c>
      <c r="D16" s="29">
        <v>0</v>
      </c>
      <c r="E16" s="33">
        <v>0</v>
      </c>
      <c r="F16" s="33">
        <v>0</v>
      </c>
      <c r="G16" s="33">
        <f t="shared" si="0"/>
        <v>0</v>
      </c>
    </row>
    <row r="17" spans="1:7" ht="27.6" thickBot="1" x14ac:dyDescent="0.35">
      <c r="A17" s="77" t="s">
        <v>1</v>
      </c>
      <c r="B17" s="78" t="s">
        <v>14</v>
      </c>
      <c r="C17" s="79">
        <f>SUM(C4:C16)</f>
        <v>9</v>
      </c>
      <c r="D17" s="80">
        <f>SUM(D4:D16)</f>
        <v>12</v>
      </c>
      <c r="E17" s="79">
        <f>SUM(E4:E16)</f>
        <v>15</v>
      </c>
      <c r="F17" s="79">
        <f>SUM(F4:F16)</f>
        <v>23</v>
      </c>
      <c r="G17" s="79">
        <f>SUM(G4:G16)</f>
        <v>59</v>
      </c>
    </row>
  </sheetData>
  <mergeCells count="1"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282F-8FF2-481B-9213-A19311F037D5}">
  <dimension ref="A1:V18"/>
  <sheetViews>
    <sheetView tabSelected="1" topLeftCell="A2" zoomScale="70" zoomScaleNormal="70" workbookViewId="0">
      <pane xSplit="2" ySplit="1" topLeftCell="O3" activePane="bottomRight" state="frozen"/>
      <selection activeCell="A2" sqref="A2"/>
      <selection pane="topRight" activeCell="C2" sqref="C2"/>
      <selection pane="bottomLeft" activeCell="A3" sqref="A3"/>
      <selection pane="bottomRight" activeCell="V7" sqref="V7"/>
    </sheetView>
  </sheetViews>
  <sheetFormatPr defaultRowHeight="14.4" x14ac:dyDescent="0.3"/>
  <cols>
    <col min="1" max="1" width="6.33203125" customWidth="1"/>
    <col min="2" max="2" width="47.5546875" customWidth="1"/>
    <col min="3" max="3" width="44" bestFit="1" customWidth="1"/>
    <col min="4" max="5" width="15.44140625" style="6" customWidth="1"/>
    <col min="6" max="6" width="16.21875" style="6" customWidth="1"/>
    <col min="7" max="8" width="15.44140625" style="6" customWidth="1"/>
    <col min="9" max="17" width="16.77734375" style="6" customWidth="1"/>
    <col min="18" max="18" width="19.5546875" style="6" customWidth="1"/>
    <col min="19" max="19" width="8.88671875" customWidth="1"/>
    <col min="22" max="22" width="22.21875" customWidth="1"/>
  </cols>
  <sheetData>
    <row r="1" spans="1:22" ht="94.2" customHeight="1" thickBot="1" x14ac:dyDescent="0.35">
      <c r="A1" s="1"/>
      <c r="B1" s="2"/>
      <c r="C1" s="2"/>
      <c r="D1" s="5"/>
      <c r="E1" s="5"/>
      <c r="F1" s="5"/>
      <c r="G1" s="5"/>
      <c r="H1" s="5"/>
      <c r="I1" s="5"/>
    </row>
    <row r="2" spans="1:22" ht="43.2" customHeight="1" thickBot="1" x14ac:dyDescent="0.35">
      <c r="A2" s="88" t="s">
        <v>33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</row>
    <row r="3" spans="1:22" ht="30.6" x14ac:dyDescent="0.3">
      <c r="A3" s="91" t="s">
        <v>1</v>
      </c>
      <c r="B3" s="44"/>
      <c r="C3" s="98" t="s">
        <v>2</v>
      </c>
      <c r="D3" s="95" t="s">
        <v>34</v>
      </c>
      <c r="E3" s="96"/>
      <c r="F3" s="97"/>
      <c r="G3" s="100" t="s">
        <v>32</v>
      </c>
      <c r="H3" s="100"/>
      <c r="I3" s="101"/>
      <c r="J3" s="95" t="s">
        <v>18</v>
      </c>
      <c r="K3" s="96"/>
      <c r="L3" s="97"/>
      <c r="M3" s="95" t="s">
        <v>23</v>
      </c>
      <c r="N3" s="96"/>
      <c r="O3" s="97"/>
      <c r="P3" s="95" t="s">
        <v>35</v>
      </c>
      <c r="Q3" s="96"/>
      <c r="R3" s="97"/>
    </row>
    <row r="4" spans="1:22" ht="33" customHeight="1" thickBot="1" x14ac:dyDescent="0.35">
      <c r="A4" s="92"/>
      <c r="B4" s="45"/>
      <c r="C4" s="99"/>
      <c r="D4" s="7" t="s">
        <v>16</v>
      </c>
      <c r="E4" s="3" t="s">
        <v>3</v>
      </c>
      <c r="F4" s="4" t="s">
        <v>17</v>
      </c>
      <c r="G4" s="10" t="s">
        <v>16</v>
      </c>
      <c r="H4" s="3" t="s">
        <v>3</v>
      </c>
      <c r="I4" s="4" t="s">
        <v>17</v>
      </c>
      <c r="J4" s="7" t="s">
        <v>16</v>
      </c>
      <c r="K4" s="3" t="s">
        <v>3</v>
      </c>
      <c r="L4" s="4" t="s">
        <v>17</v>
      </c>
      <c r="M4" s="7" t="s">
        <v>16</v>
      </c>
      <c r="N4" s="3" t="s">
        <v>3</v>
      </c>
      <c r="O4" s="4" t="s">
        <v>17</v>
      </c>
      <c r="P4" s="7" t="s">
        <v>16</v>
      </c>
      <c r="Q4" s="3" t="s">
        <v>3</v>
      </c>
      <c r="R4" s="4" t="s">
        <v>17</v>
      </c>
    </row>
    <row r="5" spans="1:22" ht="27" x14ac:dyDescent="0.3">
      <c r="A5" s="8">
        <v>1</v>
      </c>
      <c r="B5" s="11" t="s">
        <v>0</v>
      </c>
      <c r="C5" s="11" t="s">
        <v>0</v>
      </c>
      <c r="D5" s="13">
        <v>19</v>
      </c>
      <c r="E5" s="13">
        <v>150</v>
      </c>
      <c r="F5" s="13">
        <v>0</v>
      </c>
      <c r="G5" s="112">
        <v>24</v>
      </c>
      <c r="H5" s="13">
        <v>118</v>
      </c>
      <c r="I5" s="13">
        <v>0</v>
      </c>
      <c r="J5" s="112">
        <v>20</v>
      </c>
      <c r="K5" s="13">
        <v>102</v>
      </c>
      <c r="L5" s="13">
        <v>0</v>
      </c>
      <c r="M5" s="112"/>
      <c r="N5" s="43"/>
      <c r="O5" s="43"/>
      <c r="P5" s="41">
        <f>D5+G5+J5+M5</f>
        <v>63</v>
      </c>
      <c r="Q5" s="42">
        <f>E5+H5+K5+N5</f>
        <v>370</v>
      </c>
      <c r="R5" s="43">
        <f>F5+I5+L5+O5</f>
        <v>0</v>
      </c>
    </row>
    <row r="6" spans="1:22" ht="27" x14ac:dyDescent="0.3">
      <c r="A6" s="9">
        <v>2</v>
      </c>
      <c r="B6" s="19" t="s">
        <v>4</v>
      </c>
      <c r="C6" s="19" t="s">
        <v>4</v>
      </c>
      <c r="D6" s="21">
        <v>13</v>
      </c>
      <c r="E6" s="21">
        <v>29</v>
      </c>
      <c r="F6" s="21">
        <v>0</v>
      </c>
      <c r="G6" s="113">
        <v>6</v>
      </c>
      <c r="H6" s="21">
        <v>11</v>
      </c>
      <c r="I6" s="21">
        <v>4</v>
      </c>
      <c r="J6" s="113">
        <v>7</v>
      </c>
      <c r="K6" s="21">
        <v>5</v>
      </c>
      <c r="L6" s="21">
        <v>2</v>
      </c>
      <c r="M6" s="113"/>
      <c r="N6" s="18"/>
      <c r="O6" s="18"/>
      <c r="P6" s="16">
        <f t="shared" ref="P6:R17" si="0">D6+G6+J6+M6</f>
        <v>26</v>
      </c>
      <c r="Q6" s="17">
        <f t="shared" si="0"/>
        <v>45</v>
      </c>
      <c r="R6" s="18">
        <f t="shared" si="0"/>
        <v>6</v>
      </c>
    </row>
    <row r="7" spans="1:22" ht="27" x14ac:dyDescent="0.3">
      <c r="A7" s="9">
        <v>3</v>
      </c>
      <c r="B7" s="19" t="s">
        <v>5</v>
      </c>
      <c r="C7" s="19" t="s">
        <v>5</v>
      </c>
      <c r="D7" s="21">
        <v>20</v>
      </c>
      <c r="E7" s="21">
        <v>27</v>
      </c>
      <c r="F7" s="21">
        <v>0</v>
      </c>
      <c r="G7" s="113">
        <v>21</v>
      </c>
      <c r="H7" s="21">
        <v>34</v>
      </c>
      <c r="I7" s="21">
        <v>0</v>
      </c>
      <c r="J7" s="113">
        <v>14</v>
      </c>
      <c r="K7" s="21">
        <v>50</v>
      </c>
      <c r="L7" s="21">
        <v>0</v>
      </c>
      <c r="M7" s="113"/>
      <c r="N7" s="18"/>
      <c r="O7" s="18"/>
      <c r="P7" s="16">
        <f t="shared" si="0"/>
        <v>55</v>
      </c>
      <c r="Q7" s="17">
        <f t="shared" si="0"/>
        <v>111</v>
      </c>
      <c r="R7" s="18">
        <f t="shared" si="0"/>
        <v>0</v>
      </c>
      <c r="V7" t="s">
        <v>36</v>
      </c>
    </row>
    <row r="8" spans="1:22" ht="27" x14ac:dyDescent="0.3">
      <c r="A8" s="9">
        <v>4</v>
      </c>
      <c r="B8" s="19" t="s">
        <v>6</v>
      </c>
      <c r="C8" s="19" t="s">
        <v>6</v>
      </c>
      <c r="D8" s="21">
        <v>10</v>
      </c>
      <c r="E8" s="21">
        <v>92</v>
      </c>
      <c r="F8" s="21">
        <v>0</v>
      </c>
      <c r="G8" s="113">
        <v>4</v>
      </c>
      <c r="H8" s="21">
        <v>37</v>
      </c>
      <c r="I8" s="21">
        <v>0</v>
      </c>
      <c r="J8" s="113">
        <v>4</v>
      </c>
      <c r="K8" s="21">
        <v>47</v>
      </c>
      <c r="L8" s="21">
        <v>0</v>
      </c>
      <c r="M8" s="113"/>
      <c r="N8" s="18"/>
      <c r="O8" s="18"/>
      <c r="P8" s="16">
        <f t="shared" si="0"/>
        <v>18</v>
      </c>
      <c r="Q8" s="17">
        <f t="shared" si="0"/>
        <v>176</v>
      </c>
      <c r="R8" s="18">
        <f t="shared" si="0"/>
        <v>0</v>
      </c>
    </row>
    <row r="9" spans="1:22" ht="27" x14ac:dyDescent="0.3">
      <c r="A9" s="9">
        <v>5</v>
      </c>
      <c r="B9" s="19" t="s">
        <v>7</v>
      </c>
      <c r="C9" s="19" t="s">
        <v>7</v>
      </c>
      <c r="D9" s="21">
        <v>7</v>
      </c>
      <c r="E9" s="21">
        <v>76</v>
      </c>
      <c r="F9" s="21">
        <v>0</v>
      </c>
      <c r="G9" s="113">
        <v>5</v>
      </c>
      <c r="H9" s="21">
        <v>60</v>
      </c>
      <c r="I9" s="21">
        <v>0</v>
      </c>
      <c r="J9" s="113">
        <v>16</v>
      </c>
      <c r="K9" s="21">
        <v>81</v>
      </c>
      <c r="L9" s="21">
        <v>0</v>
      </c>
      <c r="M9" s="113"/>
      <c r="N9" s="18"/>
      <c r="O9" s="18"/>
      <c r="P9" s="111">
        <f t="shared" si="0"/>
        <v>28</v>
      </c>
      <c r="Q9" s="17">
        <f t="shared" si="0"/>
        <v>217</v>
      </c>
      <c r="R9" s="18">
        <f t="shared" si="0"/>
        <v>0</v>
      </c>
    </row>
    <row r="10" spans="1:22" ht="27" x14ac:dyDescent="0.3">
      <c r="A10" s="9">
        <v>6</v>
      </c>
      <c r="B10" s="19" t="s">
        <v>8</v>
      </c>
      <c r="C10" s="19" t="s">
        <v>8</v>
      </c>
      <c r="D10" s="21">
        <v>20</v>
      </c>
      <c r="E10" s="21">
        <v>28</v>
      </c>
      <c r="F10" s="21">
        <v>5</v>
      </c>
      <c r="G10" s="113">
        <v>23</v>
      </c>
      <c r="H10" s="21">
        <v>35</v>
      </c>
      <c r="I10" s="21">
        <v>2</v>
      </c>
      <c r="J10" s="113">
        <v>29</v>
      </c>
      <c r="K10" s="21">
        <v>53</v>
      </c>
      <c r="L10" s="21">
        <v>7</v>
      </c>
      <c r="M10" s="113"/>
      <c r="N10" s="18"/>
      <c r="O10" s="18"/>
      <c r="P10" s="16">
        <f t="shared" si="0"/>
        <v>72</v>
      </c>
      <c r="Q10" s="17">
        <f t="shared" si="0"/>
        <v>116</v>
      </c>
      <c r="R10" s="18">
        <f t="shared" si="0"/>
        <v>14</v>
      </c>
    </row>
    <row r="11" spans="1:22" ht="27" x14ac:dyDescent="0.3">
      <c r="A11" s="9">
        <v>7</v>
      </c>
      <c r="B11" s="19" t="s">
        <v>9</v>
      </c>
      <c r="C11" s="19" t="s">
        <v>9</v>
      </c>
      <c r="D11" s="21">
        <v>3</v>
      </c>
      <c r="E11" s="21">
        <v>36</v>
      </c>
      <c r="F11" s="21">
        <v>2</v>
      </c>
      <c r="G11" s="113">
        <v>1</v>
      </c>
      <c r="H11" s="21">
        <v>43</v>
      </c>
      <c r="I11" s="21">
        <v>2</v>
      </c>
      <c r="J11" s="113">
        <v>2</v>
      </c>
      <c r="K11" s="21">
        <v>31</v>
      </c>
      <c r="L11" s="21">
        <v>2</v>
      </c>
      <c r="M11" s="113"/>
      <c r="N11" s="18"/>
      <c r="O11" s="18"/>
      <c r="P11" s="111">
        <f t="shared" si="0"/>
        <v>6</v>
      </c>
      <c r="Q11" s="17">
        <f t="shared" si="0"/>
        <v>110</v>
      </c>
      <c r="R11" s="18">
        <f t="shared" si="0"/>
        <v>6</v>
      </c>
    </row>
    <row r="12" spans="1:22" ht="27" x14ac:dyDescent="0.3">
      <c r="A12" s="9">
        <v>8</v>
      </c>
      <c r="B12" s="19" t="s">
        <v>10</v>
      </c>
      <c r="C12" s="19" t="s">
        <v>10</v>
      </c>
      <c r="D12" s="21">
        <v>9</v>
      </c>
      <c r="E12" s="21">
        <v>15</v>
      </c>
      <c r="F12" s="21">
        <v>0</v>
      </c>
      <c r="G12" s="113">
        <v>11</v>
      </c>
      <c r="H12" s="21">
        <v>12</v>
      </c>
      <c r="I12" s="21">
        <v>0</v>
      </c>
      <c r="J12" s="113">
        <v>9</v>
      </c>
      <c r="K12" s="21">
        <v>13</v>
      </c>
      <c r="L12" s="21">
        <v>0</v>
      </c>
      <c r="M12" s="113"/>
      <c r="N12" s="18"/>
      <c r="O12" s="18"/>
      <c r="P12" s="16">
        <f t="shared" si="0"/>
        <v>29</v>
      </c>
      <c r="Q12" s="17">
        <f t="shared" si="0"/>
        <v>40</v>
      </c>
      <c r="R12" s="18">
        <f t="shared" si="0"/>
        <v>0</v>
      </c>
    </row>
    <row r="13" spans="1:22" ht="27" x14ac:dyDescent="0.3">
      <c r="A13" s="9">
        <v>9</v>
      </c>
      <c r="B13" s="19" t="s">
        <v>11</v>
      </c>
      <c r="C13" s="19" t="s">
        <v>11</v>
      </c>
      <c r="D13" s="21">
        <v>26</v>
      </c>
      <c r="E13" s="21">
        <v>74</v>
      </c>
      <c r="F13" s="21">
        <v>7</v>
      </c>
      <c r="G13" s="113">
        <v>22</v>
      </c>
      <c r="H13" s="21">
        <v>53</v>
      </c>
      <c r="I13" s="21">
        <v>0</v>
      </c>
      <c r="J13" s="113">
        <v>23</v>
      </c>
      <c r="K13" s="21">
        <v>57</v>
      </c>
      <c r="L13" s="21">
        <v>2</v>
      </c>
      <c r="M13" s="113"/>
      <c r="N13" s="18"/>
      <c r="O13" s="18"/>
      <c r="P13" s="16">
        <f t="shared" si="0"/>
        <v>71</v>
      </c>
      <c r="Q13" s="17">
        <f t="shared" si="0"/>
        <v>184</v>
      </c>
      <c r="R13" s="18">
        <f t="shared" si="0"/>
        <v>9</v>
      </c>
    </row>
    <row r="14" spans="1:22" ht="27" x14ac:dyDescent="0.3">
      <c r="A14" s="9">
        <v>10</v>
      </c>
      <c r="B14" s="19" t="s">
        <v>12</v>
      </c>
      <c r="C14" s="19" t="s">
        <v>12</v>
      </c>
      <c r="D14" s="21">
        <v>15</v>
      </c>
      <c r="E14" s="21">
        <v>88</v>
      </c>
      <c r="F14" s="21">
        <v>6</v>
      </c>
      <c r="G14" s="113">
        <v>18</v>
      </c>
      <c r="H14" s="21">
        <v>51</v>
      </c>
      <c r="I14" s="21">
        <v>3</v>
      </c>
      <c r="J14" s="113">
        <v>11</v>
      </c>
      <c r="K14" s="21">
        <v>62</v>
      </c>
      <c r="L14" s="21">
        <v>3</v>
      </c>
      <c r="M14" s="113"/>
      <c r="N14" s="18"/>
      <c r="O14" s="18"/>
      <c r="P14" s="16">
        <f t="shared" si="0"/>
        <v>44</v>
      </c>
      <c r="Q14" s="17">
        <f t="shared" si="0"/>
        <v>201</v>
      </c>
      <c r="R14" s="18">
        <f t="shared" si="0"/>
        <v>12</v>
      </c>
    </row>
    <row r="15" spans="1:22" ht="27" x14ac:dyDescent="0.3">
      <c r="A15" s="9">
        <v>11</v>
      </c>
      <c r="B15" s="19" t="s">
        <v>13</v>
      </c>
      <c r="C15" s="19" t="s">
        <v>13</v>
      </c>
      <c r="D15" s="21">
        <v>16</v>
      </c>
      <c r="E15" s="21">
        <v>54</v>
      </c>
      <c r="F15" s="21">
        <v>0</v>
      </c>
      <c r="G15" s="113">
        <v>15</v>
      </c>
      <c r="H15" s="21">
        <v>59</v>
      </c>
      <c r="I15" s="21">
        <v>0</v>
      </c>
      <c r="J15" s="113">
        <v>27</v>
      </c>
      <c r="K15" s="21">
        <v>71</v>
      </c>
      <c r="L15" s="21">
        <v>0</v>
      </c>
      <c r="M15" s="113"/>
      <c r="N15" s="18"/>
      <c r="O15" s="18"/>
      <c r="P15" s="16">
        <f t="shared" si="0"/>
        <v>58</v>
      </c>
      <c r="Q15" s="17">
        <f t="shared" si="0"/>
        <v>184</v>
      </c>
      <c r="R15" s="18">
        <f t="shared" si="0"/>
        <v>0</v>
      </c>
    </row>
    <row r="16" spans="1:22" ht="27" x14ac:dyDescent="0.3">
      <c r="A16" s="25">
        <v>12</v>
      </c>
      <c r="B16" s="26" t="s">
        <v>15</v>
      </c>
      <c r="C16" s="26" t="s">
        <v>15</v>
      </c>
      <c r="D16" s="28">
        <v>9</v>
      </c>
      <c r="E16" s="28">
        <v>10</v>
      </c>
      <c r="F16" s="28">
        <v>0</v>
      </c>
      <c r="G16" s="114">
        <v>1</v>
      </c>
      <c r="H16" s="28">
        <v>11</v>
      </c>
      <c r="I16" s="28">
        <v>0</v>
      </c>
      <c r="J16" s="114">
        <v>0</v>
      </c>
      <c r="K16" s="28">
        <v>7</v>
      </c>
      <c r="L16" s="28">
        <v>0</v>
      </c>
      <c r="M16" s="114"/>
      <c r="N16" s="33"/>
      <c r="O16" s="33"/>
      <c r="P16" s="110">
        <f t="shared" si="0"/>
        <v>10</v>
      </c>
      <c r="Q16" s="32">
        <f t="shared" si="0"/>
        <v>28</v>
      </c>
      <c r="R16" s="33">
        <f t="shared" si="0"/>
        <v>0</v>
      </c>
    </row>
    <row r="17" spans="1:18" ht="27.6" thickBot="1" x14ac:dyDescent="0.35">
      <c r="A17" s="25">
        <v>13</v>
      </c>
      <c r="B17" s="26" t="s">
        <v>24</v>
      </c>
      <c r="C17" s="26" t="s">
        <v>24</v>
      </c>
      <c r="D17" s="28">
        <v>0</v>
      </c>
      <c r="E17" s="28">
        <v>80</v>
      </c>
      <c r="F17" s="28">
        <v>0</v>
      </c>
      <c r="G17" s="31">
        <v>0</v>
      </c>
      <c r="H17" s="28">
        <v>0</v>
      </c>
      <c r="I17" s="28">
        <v>0</v>
      </c>
      <c r="J17" s="31">
        <v>0</v>
      </c>
      <c r="K17" s="28">
        <v>0</v>
      </c>
      <c r="L17" s="28">
        <v>0</v>
      </c>
      <c r="M17" s="31"/>
      <c r="N17" s="33"/>
      <c r="O17" s="33"/>
      <c r="P17" s="31">
        <f t="shared" si="0"/>
        <v>0</v>
      </c>
      <c r="Q17" s="32">
        <f t="shared" si="0"/>
        <v>80</v>
      </c>
      <c r="R17" s="33">
        <f t="shared" si="0"/>
        <v>0</v>
      </c>
    </row>
    <row r="18" spans="1:18" ht="31.2" thickBot="1" x14ac:dyDescent="0.35">
      <c r="A18" s="34" t="s">
        <v>1</v>
      </c>
      <c r="B18" s="34"/>
      <c r="C18" s="35" t="s">
        <v>14</v>
      </c>
      <c r="D18" s="36">
        <f t="shared" ref="D18:R18" si="1">SUM(D5:D17)</f>
        <v>167</v>
      </c>
      <c r="E18" s="36">
        <f t="shared" si="1"/>
        <v>759</v>
      </c>
      <c r="F18" s="38">
        <f t="shared" si="1"/>
        <v>20</v>
      </c>
      <c r="G18" s="39">
        <f t="shared" si="1"/>
        <v>151</v>
      </c>
      <c r="H18" s="37">
        <f t="shared" si="1"/>
        <v>524</v>
      </c>
      <c r="I18" s="40">
        <f t="shared" si="1"/>
        <v>11</v>
      </c>
      <c r="J18" s="36">
        <f t="shared" si="1"/>
        <v>162</v>
      </c>
      <c r="K18" s="37">
        <f t="shared" si="1"/>
        <v>579</v>
      </c>
      <c r="L18" s="38">
        <f t="shared" si="1"/>
        <v>16</v>
      </c>
      <c r="M18" s="36">
        <f t="shared" si="1"/>
        <v>0</v>
      </c>
      <c r="N18" s="36">
        <f t="shared" si="1"/>
        <v>0</v>
      </c>
      <c r="O18" s="38">
        <f t="shared" si="1"/>
        <v>0</v>
      </c>
      <c r="P18" s="36">
        <f t="shared" si="1"/>
        <v>480</v>
      </c>
      <c r="Q18" s="46">
        <f t="shared" si="1"/>
        <v>1862</v>
      </c>
      <c r="R18" s="38">
        <f t="shared" si="1"/>
        <v>47</v>
      </c>
    </row>
  </sheetData>
  <mergeCells count="8">
    <mergeCell ref="A2:R2"/>
    <mergeCell ref="A3:A4"/>
    <mergeCell ref="C3:C4"/>
    <mergeCell ref="D3:F3"/>
    <mergeCell ref="G3:I3"/>
    <mergeCell ref="J3:L3"/>
    <mergeCell ref="M3:O3"/>
    <mergeCell ref="P3:R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Report</vt:lpstr>
      <vt:lpstr>Surgeries</vt:lpstr>
      <vt:lpstr>Clinics</vt:lpstr>
      <vt:lpstr>Admission</vt:lpstr>
      <vt:lpstr>Second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Abd Al-Karim Sammour</cp:lastModifiedBy>
  <dcterms:created xsi:type="dcterms:W3CDTF">2026-01-25T09:48:50Z</dcterms:created>
  <dcterms:modified xsi:type="dcterms:W3CDTF">2026-03-14T12:10:45Z</dcterms:modified>
</cp:coreProperties>
</file>